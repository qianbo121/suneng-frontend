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7b517c861944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审批摘要" sheetId="1" r:id="R79c8bd006f1b4e0a"/>
    <x:sheet xmlns:r="http://schemas.openxmlformats.org/officeDocument/2006/relationships" name="候选Pair" sheetId="2" r:id="Rd3f31a6dfba749a1"/>
    <x:sheet xmlns:r="http://schemas.openxmlformats.org/officeDocument/2006/relationships" name="候选规则" sheetId="3" r:id="R26b118bd104843f0"/>
    <x:sheet xmlns:r="http://schemas.openxmlformats.org/officeDocument/2006/relationships" name="未入选规则" sheetId="4" r:id="R71d91d7db599493f"/>
    <x:sheet xmlns:r="http://schemas.openxmlformats.org/officeDocument/2006/relationships" name="证据台账" sheetId="5" r:id="R27a0985b7e3b47ce"/>
    <x:sheet xmlns:r="http://schemas.openxmlformats.org/officeDocument/2006/relationships" name="完整公开文案" sheetId="6" r:id="Re2bbe022125f4b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8"/>
      <x:color rgb="FFFFFFFF"/>
      <x:name val="Carlito"/>
    </x:font>
    <x:font>
      <x:sz val="10"/>
      <x:color rgb="FF172033"/>
      <x:name val="Carlito"/>
    </x:font>
    <x:font>
      <x:b/>
      <x:sz val="11"/>
      <x:color rgb="FFFFFFFF"/>
      <x:name val="Carlito"/>
    </x:font>
    <x:font>
      <x:b/>
      <x:sz val="11"/>
      <x:color rgb="FF172033"/>
      <x:name val="Carlito"/>
    </x:font>
    <x:font>
      <x:sz val="9"/>
      <x:color rgb="FF172033"/>
      <x:name val="Carlito"/>
    </x:font>
    <x:font>
      <x:b/>
      <x:sz val="9"/>
      <x:color rgb="FF172033"/>
      <x:name val="Carlito"/>
    </x:font>
    <x:font>
      <x:b/>
      <x:sz val="10"/>
      <x:color rgb="FF172033"/>
      <x:name val="Carlito"/>
    </x:font>
    <x:font>
      <x:b/>
      <x:sz val="10"/>
      <x:color rgb="FFFFFFFF"/>
      <x:name val="Carlito"/>
    </x:font>
    <x:font>
      <x:b/>
      <x:sz val="9"/>
      <x:color rgb="FF17603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0223E"/>
      </x:patternFill>
    </x:fill>
    <x:fill>
      <x:patternFill patternType="solid">
        <x:fgColor rgb="FFEAF1FF"/>
      </x:patternFill>
    </x:fill>
    <x:fill>
      <x:patternFill patternType="solid">
        <x:fgColor rgb="FFF3F6FA"/>
      </x:patternFill>
    </x:fill>
    <x:fill>
      <x:patternFill patternType="solid">
        <x:fgColor rgb="FFFFF5DB"/>
      </x:patternFill>
    </x:fill>
    <x:fill>
      <x:patternFill patternType="solid">
        <x:fgColor rgb="FF1E5FE5"/>
      </x:patternFill>
    </x:fill>
    <x:fill>
      <x:patternFill patternType="solid">
        <x:fgColor rgb="FFEAF7EF"/>
      </x:patternFill>
    </x:fill>
  </x:fills>
  <x:borders count="5">
    <x:border/>
    <x:border>
      <x:left style="thin">
        <x:color rgb="FFDDE4EE"/>
      </x:left>
      <x:right style="thin">
        <x:color rgb="FFDDE4EE"/>
      </x:right>
      <x:top style="thin">
        <x:color rgb="FFDDE4EE"/>
      </x:top>
      <x:bottom style="thin">
        <x:color rgb="FFDDE4EE"/>
      </x:bottom>
    </x:border>
    <x:border>
      <x:left style="thin">
        <x:color rgb="FFDDE4EE"/>
      </x:left>
      <x:top style="thin">
        <x:color rgb="FFDDE4EE"/>
      </x:top>
      <x:bottom style="thin">
        <x:color rgb="FFDDE4EE"/>
      </x:bottom>
    </x:border>
    <x:border>
      <x:top style="thin">
        <x:color rgb="FFDDE4EE"/>
      </x:top>
      <x:bottom style="thin">
        <x:color rgb="FFDDE4EE"/>
      </x:bottom>
    </x:border>
    <x:border>
      <x:right style="thin">
        <x:color rgb="FFDDE4EE"/>
      </x:right>
      <x:top style="thin">
        <x:color rgb="FFDDE4EE"/>
      </x:top>
      <x:bottom style="thin">
        <x:color rgb="FFDDE4EE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2" xfId="0" applyNumberFormat="1" applyFont="1" applyFill="1" applyBorder="1"/>
    <x:xf numFmtId="0" fontId="7" fillId="7" borderId="3" xfId="0" applyNumberFormat="1" applyFont="1" applyFill="1" applyBorder="1"/>
    <x:xf numFmtId="0" fontId="7" fillId="7" borderId="4" xfId="0" applyNumberFormat="1" applyFont="1" applyFill="1" applyBorder="1"/>
    <x:xf numFmtId="0" fontId="7" fillId="7" borderId="2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wrapText="1"/>
    </x:xf>
    <x:xf numFmtId="0" fontId="7" fillId="7" borderId="4" xfId="0" applyNumberFormat="1" applyFont="1" applyFill="1" applyBorder="1" applyAlignment="1">
      <x:alignment wrapText="1"/>
    </x:xf>
    <x:xf numFmtId="0" fontId="7" fillId="7" borderId="2" xfId="0" applyNumberFormat="1" applyFont="1" applyFill="1" applyBorder="1" applyAlignment="1">
      <x:alignment vertical="center" wrapText="1"/>
    </x:xf>
    <x:xf numFmtId="0" fontId="7" fillId="7" borderId="3" xfId="0" applyNumberFormat="1" applyFont="1" applyFill="1" applyBorder="1" applyAlignment="1">
      <x:alignment vertical="center" wrapText="1"/>
    </x:xf>
    <x:xf numFmtId="0" fontId="7" fillId="7" borderId="4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horizont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9" fillId="7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17603A"/>
      </x:font>
      <x:fill>
        <x:patternFill patternType="solid">
          <x:bgColor rgb="FFEAF7EF"/>
        </x:patternFill>
      </x:fill>
    </x:dxf>
    <x:dxf>
      <x:font>
        <x:color rgb="FF9A1B1B"/>
      </x:font>
      <x:fill>
        <x:patternFill patternType="solid">
          <x:bgColor rgb="FFFDECEC"/>
        </x:patternFill>
      </x:fill>
    </x:dxf>
    <x:dxf>
      <x:font>
        <x:b/>
        <x:color rgb="FF17603A"/>
      </x:font>
      <x:fill>
        <x:patternFill patternType="solid">
          <x:bgColor rgb="FFEAF7EF"/>
        </x:patternFill>
      </x:fill>
    </x:dxf>
    <x:dxf>
      <x:font>
        <x:b/>
        <x:color rgb="FF172033"/>
      </x:font>
      <x:fill>
        <x:patternFill patternType="solid">
          <x:bgColor rgb="FFFFF5D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a7ec715e0441b5" /><Relationship Type="http://schemas.openxmlformats.org/officeDocument/2006/relationships/theme" Target="/xl/theme/theme1.xml" Id="R803b94ce696c4e1d" /><Relationship Type="http://schemas.openxmlformats.org/officeDocument/2006/relationships/sharedStrings" Target="/xl/sharedStrings.xml" Id="R08f818ca940c40fc" /><Relationship Type="http://schemas.openxmlformats.org/officeDocument/2006/relationships/worksheet" Target="/xl/worksheets/sheet1.xml" Id="R79c8bd006f1b4e0a" /><Relationship Type="http://schemas.openxmlformats.org/officeDocument/2006/relationships/worksheet" Target="/xl/worksheets/sheet2.xml" Id="Rd3f31a6dfba749a1" /><Relationship Type="http://schemas.openxmlformats.org/officeDocument/2006/relationships/worksheet" Target="/xl/worksheets/sheet3.xml" Id="R26b118bd104843f0" /><Relationship Type="http://schemas.openxmlformats.org/officeDocument/2006/relationships/worksheet" Target="/xl/worksheets/sheet4.xml" Id="R71d91d7db599493f" /><Relationship Type="http://schemas.openxmlformats.org/officeDocument/2006/relationships/worksheet" Target="/xl/worksheets/sheet5.xml" Id="R27a0985b7e3b47ce" /><Relationship Type="http://schemas.openxmlformats.org/officeDocument/2006/relationships/worksheet" Target="/xl/worksheets/sheet6.xml" Id="Re2bbe022125f4bd2" /></Relationships>
</file>

<file path=xl/tables/table1.xml><?xml version="1.0" encoding="utf-8"?>
<x:table xmlns:x="http://schemas.openxmlformats.org/spreadsheetml/2006/main" id="1" name="CandidatePairTable" displayName="CandidatePairTable" ref="A4:Q27" headerRowCount="1" totalsRowCount="0" totalsRowShown="0">
  <x:autoFilter ref="A4:Q27"/>
  <x:tableColumns count="17">
    <x:tableColumn id="1" name="ruleId"/>
    <x:tableColumn id="2" name="pair范围"/>
    <x:tableColumn id="3" name="分类"/>
    <x:tableColumn id="4" name="工件"/>
    <x:tableColumn id="5" name="处理目的"/>
    <x:tableColumn id="6" name="必要工况"/>
    <x:tableColumn id="7" name="设备方向"/>
    <x:tableColumn id="8" name="证据状态"/>
    <x:tableColumn id="9" name="证据引用"/>
    <x:tableColumn id="10" name="证据直接支持"/>
    <x:tableColumn id="11" name="工程推导部分"/>
    <x:tableColumn id="12" name="未核实假设"/>
    <x:tableColumn id="13" name="公开文案"/>
    <x:tableColumn id="14" name="客户提示"/>
    <x:tableColumn id="15" name="风险等级"/>
    <x:tableColumn id="16" name="建议是否公开"/>
    <x:tableColumn id="17" name="排除原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ndidateRuleTable" displayName="CandidateRuleTable" ref="A4:M10" headerRowCount="1" totalsRowCount="0" totalsRowShown="0">
  <x:autoFilter ref="A4:M10"/>
  <x:tableColumns count="13">
    <x:tableColumn id="1" name="ruleId"/>
    <x:tableColumn id="2" name="内部执行状态"/>
    <x:tableColumn id="3" name="源公开状态"/>
    <x:tableColumn id="4" name="批准后拟议状态"/>
    <x:tableColumn id="5" name="入选pair"/>
    <x:tableColumn id="6" name="排除pair"/>
    <x:tableColumn id="7" name="设备方向"/>
    <x:tableColumn id="8" name="必要工况"/>
    <x:tableColumn id="9" name="来源直接支持"/>
    <x:tableColumn id="10" name="工程推导"/>
    <x:tableColumn id="11" name="工程门禁"/>
    <x:tableColumn id="12" name="风险"/>
    <x:tableColumn id="13" name="建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cludedRuleTable" displayName="ExcludedRuleTable" ref="A4:H60" headerRowCount="1" totalsRowCount="0" totalsRowShown="0">
  <x:autoFilter ref="A4:H60"/>
  <x:tableColumns count="8">
    <x:tableColumn id="1" name="ruleId"/>
    <x:tableColumn id="2" name="内部执行状态"/>
    <x:tableColumn id="3" name="当前公开状态"/>
    <x:tableColumn id="4" name="总pair"/>
    <x:tableColumn id="5" name="入选pair"/>
    <x:tableColumn id="6" name="排除pair"/>
    <x:tableColumn id="7" name="首版状态"/>
    <x:tableColumn id="8" name="排除或保留原因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videnceSnapshotTable" displayName="EvidenceSnapshotTable" ref="A4:L11" headerRowCount="1" totalsRowCount="0" totalsRowShown="0">
  <x:autoFilter ref="A4:L11"/>
  <x:tableColumns count="12">
    <x:tableColumn id="1" name="evidenceId"/>
    <x:tableColumn id="2" name="证据类型"/>
    <x:tableColumn id="3" name="发布机构"/>
    <x:tableColumn id="4" name="标题"/>
    <x:tableColumn id="5" name="版本"/>
    <x:tableColumn id="6" name="状态"/>
    <x:tableColumn id="7" name="访问级别"/>
    <x:tableColumn id="8" name="核验状态"/>
    <x:tableColumn id="9" name="官方链接"/>
    <x:tableColumn id="10" name="直接支持范围"/>
    <x:tableColumn id="11" name="适用边界"/>
    <x:tableColumn id="12" name="核验日期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ublicCopyTable" displayName="PublicCopyTable" ref="A4:F22" headerRowCount="1" totalsRowCount="0" totalsRowShown="0">
  <x:autoFilter ref="A4:F22"/>
  <x:tableColumns count="6">
    <x:tableColumn id="1" name="ruleId"/>
    <x:tableColumn id="2" name="设备方向"/>
    <x:tableColumn id="3" name="显示状态"/>
    <x:tableColumn id="4" name="客户完整文案"/>
    <x:tableColumn id="5" name="客户提示"/>
    <x:tableColumn id="6" name="公开边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05a78fc32d84d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ce65f54ce54d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f2af999ae641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1bf40b50a7b40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b4f9b52c8f4f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46.66999816894531" hidden="0" customWidth="1"/>
    <x:col min="4" max="4" width="20" hidden="0" customWidth="1"/>
    <x:col min="5" max="5" width="14.4399995803833" hidden="0" customWidth="1"/>
    <x:col min="6" max="6" width="14.4399995803833" hidden="0" customWidth="1"/>
    <x:col min="7" max="7" width="14.4399995803833" hidden="0" customWidth="1"/>
    <x:col min="8" max="8" width="14.4399995803833" hidden="0" customWidth="1"/>
  </x:cols>
  <x:sheetData>
    <x:row r="1" ht="28.5" customHeight="1">
      <x:c r="A1" s="3" t="str">
        <x:v>第2.5批首版公开基线候选—审批摘要</x:v>
      </x:c>
      <x:c r="B1" s="3"/>
      <x:c r="C1" s="3"/>
      <x:c r="D1" s="3"/>
      <x:c r="E1" s="3"/>
      <x:c r="F1" s="3"/>
      <x:c r="G1" s="3"/>
      <x:c r="H1" s="3"/>
    </x:row>
    <x:row r="2" ht="31.5" customHeight="1">
      <x:c r="A2" s="7" t="str">
        <x:v>本工作簿只用于负责人审阅冻结候选包；批准记录仍为空，生产仍为0条公开。</x:v>
      </x:c>
      <x:c r="B2" s="7"/>
      <x:c r="C2" s="7"/>
      <x:c r="D2" s="7"/>
      <x:c r="E2" s="7"/>
      <x:c r="F2" s="7"/>
      <x:c r="G2" s="7"/>
      <x:c r="H2" s="7"/>
    </x:row>
    <x:row r="4" ht="22.5" customHeight="1">
      <x:c r="A4" s="12" t="str">
        <x:v>审批项</x:v>
      </x:c>
      <x:c r="B4" s="12" t="str">
        <x:v>冻结值</x:v>
      </x:c>
      <x:c r="D4" s="18" t="str">
        <x:v>冻结哈希</x:v>
      </x:c>
      <x:c r="E4" s="18"/>
      <x:c r="F4" s="18"/>
      <x:c r="G4" s="18"/>
      <x:c r="H4" s="18"/>
    </x:row>
    <x:row r="5" ht="22.5" customHeight="1">
      <x:c r="A5" s="14" t="str">
        <x:v>候选基线版本</x:v>
      </x:c>
      <x:c r="B5" s="10" t="str">
        <x:v>industry-public-baseline-2026-08-batch2.5-candidate-v1</x:v>
      </x:c>
      <x:c r="D5" s="23" t="str">
        <x:v>snapshotHash</x:v>
      </x:c>
      <x:c r="E5" s="21" t="str">
        <x:v>sha256:b6cca52e76685c290f5d3537fc0572db53dee93ba55a94b743811356dc5ab036</x:v>
      </x:c>
      <x:c r="F5" s="21"/>
      <x:c r="G5" s="21"/>
      <x:c r="H5" s="21"/>
    </x:row>
    <x:row r="6" ht="22.5" customHeight="1">
      <x:c r="A6" s="14" t="str">
        <x:v>候选规则数</x:v>
      </x:c>
      <x:c r="B6" s="10" t="n">
        <x:f>COUNTA('候选规则'!A5:A10)</x:f>
        <x:v>6</x:v>
      </x:c>
      <x:c r="D6" s="23" t="str">
        <x:v>evidenceSnapshotHash</x:v>
      </x:c>
      <x:c r="E6" s="21" t="str">
        <x:v>sha256:b8993798ca7d8fa82dff106a480e8c61c1a96dcaa997da612a6464a29f3ac129</x:v>
      </x:c>
      <x:c r="F6" s="21"/>
      <x:c r="G6" s="21"/>
      <x:c r="H6" s="21"/>
    </x:row>
    <x:row r="7" ht="22.5" customHeight="1">
      <x:c r="A7" s="14" t="str">
        <x:v>候选pair数</x:v>
      </x:c>
      <x:c r="B7" s="10" t="n">
        <x:f>COUNTA('候选Pair'!A5:A27)</x:f>
        <x:v>23</x:v>
      </x:c>
      <x:c r="D7" s="23" t="str">
        <x:v>publicCopySnapshotHash</x:v>
      </x:c>
      <x:c r="E7" s="21" t="str">
        <x:v>sha256:c862f0245c6ba471fb2040ad8af34ac95f147a3460edf14e53f70379ebe0b9e7</x:v>
      </x:c>
      <x:c r="F7" s="21"/>
      <x:c r="G7" s="21"/>
      <x:c r="H7" s="21"/>
    </x:row>
    <x:row r="8" ht="22.5" customHeight="1">
      <x:c r="A8" s="14" t="str">
        <x:v>生产公开规则数</x:v>
      </x:c>
      <x:c r="B8" s="10" t="n">
        <x:f>0</x:f>
        <x:v>0</x:v>
      </x:c>
      <x:c r="D8" s="23" t="str">
        <x:v>codeAndDataSnapshotHash</x:v>
      </x:c>
      <x:c r="E8" s="21" t="str">
        <x:v>sha256:9e109cbdfa89586ecfd50766c446c4c188729d5e4a48b4ce59aadc9f5ed1f0b5</x:v>
      </x:c>
      <x:c r="F8" s="21"/>
      <x:c r="G8" s="21"/>
      <x:c r="H8" s="21"/>
    </x:row>
    <x:row r="9" ht="22.5" customHeight="1">
      <x:c r="A9" s="14" t="str">
        <x:v>当前状态</x:v>
      </x:c>
      <x:c r="B9" s="16" t="str">
        <x:v>等待负责人一次性批准</x:v>
      </x:c>
      <x:c r="D9" s="23" t="str">
        <x:v>approvalScopeHash</x:v>
      </x:c>
      <x:c r="E9" s="21" t="str">
        <x:v>sha256:2f9578abeb9ecbbe8722bdb8a0b9a58d31e7ffe42234dd8b9c14ed749405b613</x:v>
      </x:c>
      <x:c r="F9" s="21"/>
      <x:c r="G9" s="21"/>
      <x:c r="H9" s="21"/>
    </x:row>
    <x:row r="10" ht="22.5" customHeight="1">
      <x:c r="A10" s="14" t="str">
        <x:v>批准人</x:v>
      </x:c>
      <x:c r="B10" s="16" t="str">
        <x:v>未填写</x:v>
      </x:c>
    </x:row>
    <x:row r="11" ht="43.5" customHeight="1">
      <x:c r="A11" s="14" t="str">
        <x:v>批准时间</x:v>
      </x:c>
      <x:c r="B11" s="16" t="str">
        <x:v>未填写</x:v>
      </x:c>
      <x:c r="D11" s="32" t="str">
        <x:v>审批范围：仅开放明确列出的规则与pair；不包含产品链接、苏能能力承诺、最终选型或未核实数值参数。</x:v>
      </x:c>
      <x:c r="E11" s="33"/>
      <x:c r="F11" s="33"/>
      <x:c r="G11" s="33"/>
      <x:c r="H11" s="34"/>
    </x:row>
  </x:sheetData>
  <x:mergeCells>
    <x:mergeCell ref="A1:H1"/>
    <x:mergeCell ref="A2:H2"/>
    <x:mergeCell ref="D4:H4"/>
    <x:mergeCell ref="E5:H5"/>
    <x:mergeCell ref="E6:H6"/>
    <x:mergeCell ref="E7:H7"/>
    <x:mergeCell ref="E8:H8"/>
    <x:mergeCell ref="E9:H9"/>
    <x:mergeCell ref="D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30" hidden="0" customWidth="1"/>
    <x:col min="3" max="3" width="11.670000076293945" hidden="0" customWidth="1"/>
    <x:col min="4" max="4" width="16.670000076293945" hidden="0" customWidth="1"/>
    <x:col min="5" max="5" width="13.329999923706055" hidden="0" customWidth="1"/>
    <x:col min="6" max="6" width="40" hidden="0" customWidth="1"/>
    <x:col min="7" max="7" width="21.110000610351562" hidden="0" customWidth="1"/>
    <x:col min="8" max="8" width="16.670000076293945" hidden="0" customWidth="1"/>
    <x:col min="9" max="9" width="28.889999389648438" hidden="0" customWidth="1"/>
    <x:col min="10" max="10" width="40" hidden="0" customWidth="1"/>
    <x:col min="11" max="11" width="40" hidden="0" customWidth="1"/>
    <x:col min="12" max="12" width="14.4399995803833" hidden="0" customWidth="1"/>
    <x:col min="13" max="13" width="47.779998779296875" hidden="0" customWidth="1"/>
    <x:col min="14" max="14" width="31.110000610351562" hidden="0" customWidth="1"/>
    <x:col min="15" max="15" width="9.4399995803833" hidden="0" customWidth="1"/>
    <x:col min="16" max="16" width="23.329999923706055" hidden="0" customWidth="1"/>
    <x:col min="17" max="17" width="17.780000686645508" hidden="0" customWidth="1"/>
  </x:cols>
  <x:sheetData>
    <x:row r="1" ht="28.5" customHeight="1">
      <x:c r="A1" s="3" t="str">
        <x:v>首版公开候选Pair审核矩阵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1.5" customHeight="1">
      <x:c r="A2" s="7" t="str">
        <x:v>每行是一个明确的工件—路线—处理目的范围；只有负责人批准列表与pair交集内的结果才能在后续发布。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 ht="25.5" customHeight="1">
      <x:c r="A4" s="39" t="str">
        <x:v>ruleId</x:v>
      </x:c>
      <x:c r="B4" s="39" t="str">
        <x:v>pair范围</x:v>
      </x:c>
      <x:c r="C4" s="39" t="str">
        <x:v>分类</x:v>
      </x:c>
      <x:c r="D4" s="39" t="str">
        <x:v>工件</x:v>
      </x:c>
      <x:c r="E4" s="39" t="str">
        <x:v>处理目的</x:v>
      </x:c>
      <x:c r="F4" s="39" t="str">
        <x:v>必要工况</x:v>
      </x:c>
      <x:c r="G4" s="39" t="str">
        <x:v>设备方向</x:v>
      </x:c>
      <x:c r="H4" s="39" t="str">
        <x:v>证据状态</x:v>
      </x:c>
      <x:c r="I4" s="39" t="str">
        <x:v>证据引用</x:v>
      </x:c>
      <x:c r="J4" s="39" t="str">
        <x:v>证据直接支持</x:v>
      </x:c>
      <x:c r="K4" s="39" t="str">
        <x:v>工程推导部分</x:v>
      </x:c>
      <x:c r="L4" s="39" t="str">
        <x:v>未核实假设</x:v>
      </x:c>
      <x:c r="M4" s="39" t="str">
        <x:v>公开文案</x:v>
      </x:c>
      <x:c r="N4" s="39" t="str">
        <x:v>客户提示</x:v>
      </x:c>
      <x:c r="O4" s="39" t="str">
        <x:v>风险等级</x:v>
      </x:c>
      <x:c r="P4" s="39" t="str">
        <x:v>建议是否公开</x:v>
      </x:c>
      <x:c r="Q4" s="39" t="str">
        <x:v>排除原因</x:v>
      </x:c>
    </x:row>
    <x:row r="5" ht="82.5" customHeight="1">
      <x:c r="A5" s="40" t="str">
        <x:v>eqdir-heavy-car-bottom-v1</x:v>
      </x:c>
      <x:c r="B5" s="40" t="str">
        <x:v>large-forged-flange|heavy-steel-normalize-temper-anneal|normalizing</x:v>
      </x:c>
      <x:c r="C5" s="40" t="str">
        <x:v>铸锻重件</x:v>
      </x:c>
      <x:c r="D5" s="40" t="str">
        <x:v>大型法兰</x:v>
      </x:c>
      <x:c r="E5" s="40" t="str">
        <x:v>正火</x:v>
      </x:c>
      <x:c r="F5" s="40" t="str">
        <x:v>大型钢铸件或锻件；整件退火、正火或单独回火；批次生产；移动炉床承载；装载外形、重量、重心、支撑和上下料路径均经服务端确认兼容</x:v>
      </x:c>
      <x:c r="G5" s="40" t="str">
        <x:v>台车式周期炉</x:v>
      </x:c>
      <x:c r="H5" s="42" t="str">
        <x:v>taxonomy_and_application_mapping_verified</x:v>
      </x:c>
      <x:c r="I5" s="40" t="str">
        <x:v>tech-us-doe-process-heating-sourcebook3-2015
candidate-appmap-heavy-car-bottom</x:v>
      </x:c>
      <x:c r="J5" s="40" t="str">
        <x:v>Surface Combustion官方资料直接支持台车式批次炉、移动炉床承载，以及铸件/锻件/轴类的退火、正火和回火应用。</x:v>
      </x:c>
      <x:c r="K5" s="40" t="str">
        <x:v>将工件属于大型钢铸锻件、工艺为整件热处理、批次运行和服务端工程兼容性结合，条件推导为台车式周期炉。</x:v>
      </x:c>
      <x:c r="L5" s="40" t="str">
        <x:v>无</x:v>
      </x:c>
      <x:c r="M5" s="40" t="str">
        <x:v>根据已确认的工件、处理目的和工程兼容性条件，行业常见设备方向为“台车式周期炉”。仍需确认：材质和牌号、有效装载空间、单件与工装重量、重心、支撑跨距、上下料路径。该结果不代表苏能已确认可提供，也不是最终选型。</x:v>
      </x:c>
      <x:c r="N5" s="40" t="str">
        <x:v>需继续确认：材质和牌号、有效装载空间、单件与工装重量、重心、支撑跨距、上下料路径。</x:v>
      </x:c>
      <x:c r="O5" s="44" t="str">
        <x:v>中</x:v>
      </x:c>
      <x:c r="P5" s="40" t="str">
        <x:v>建议纳入首版候选包，等待负责人一次性批准</x:v>
      </x:c>
      <x:c r="Q5" s="40" t="str"/>
    </x:row>
    <x:row r="6" ht="82.5" customHeight="1">
      <x:c r="A6" s="40" t="str">
        <x:v>eqdir-heavy-car-bottom-v1</x:v>
      </x:c>
      <x:c r="B6" s="40" t="str">
        <x:v>large-forged-flange|heavy-steel-normalize-temper-anneal|tempering</x:v>
      </x:c>
      <x:c r="C6" s="40" t="str">
        <x:v>铸锻重件</x:v>
      </x:c>
      <x:c r="D6" s="40" t="str">
        <x:v>大型法兰</x:v>
      </x:c>
      <x:c r="E6" s="40" t="str">
        <x:v>回火</x:v>
      </x:c>
      <x:c r="F6" s="40" t="str">
        <x:v>大型钢铸件或锻件；整件退火、正火或单独回火；批次生产；移动炉床承载；装载外形、重量、重心、支撑和上下料路径均经服务端确认兼容</x:v>
      </x:c>
      <x:c r="G6" s="40" t="str">
        <x:v>台车式周期炉</x:v>
      </x:c>
      <x:c r="H6" s="42" t="str">
        <x:v>taxonomy_and_application_mapping_verified</x:v>
      </x:c>
      <x:c r="I6" s="40" t="str">
        <x:v>tech-us-doe-process-heating-sourcebook3-2015
candidate-appmap-heavy-car-bottom</x:v>
      </x:c>
      <x:c r="J6" s="40" t="str">
        <x:v>Surface Combustion官方资料直接支持台车式批次炉、移动炉床承载，以及铸件/锻件/轴类的退火、正火和回火应用。</x:v>
      </x:c>
      <x:c r="K6" s="40" t="str">
        <x:v>将工件属于大型钢铸锻件、工艺为整件热处理、批次运行和服务端工程兼容性结合，条件推导为台车式周期炉。</x:v>
      </x:c>
      <x:c r="L6" s="40" t="str">
        <x:v>无</x:v>
      </x:c>
      <x:c r="M6" s="40" t="str">
        <x:v>根据已确认的工件、处理目的和工程兼容性条件，行业常见设备方向为“台车式周期炉”。仍需确认：材质和牌号、有效装载空间、单件与工装重量、重心、支撑跨距、上下料路径。该结果不代表苏能已确认可提供，也不是最终选型。</x:v>
      </x:c>
      <x:c r="N6" s="40" t="str">
        <x:v>需继续确认：材质和牌号、有效装载空间、单件与工装重量、重心、支撑跨距、上下料路径。</x:v>
      </x:c>
      <x:c r="O6" s="44" t="str">
        <x:v>中</x:v>
      </x:c>
      <x:c r="P6" s="40" t="str">
        <x:v>建议纳入首版候选包，等待负责人一次性批准</x:v>
      </x:c>
      <x:c r="Q6" s="40" t="str"/>
    </x:row>
    <x:row r="7" ht="82.5" customHeight="1">
      <x:c r="A7" s="40" t="str">
        <x:v>eqdir-heavy-car-bottom-v1</x:v>
      </x:c>
      <x:c r="B7" s="40" t="str">
        <x:v>large-forged-flange|heavy-steel-normalize-temper-anneal|annealing</x:v>
      </x:c>
      <x:c r="C7" s="40" t="str">
        <x:v>铸锻重件</x:v>
      </x:c>
      <x:c r="D7" s="40" t="str">
        <x:v>大型法兰</x:v>
      </x:c>
      <x:c r="E7" s="40" t="str">
        <x:v>退火</x:v>
      </x:c>
      <x:c r="F7" s="40" t="str">
        <x:v>大型钢铸件或锻件；整件退火、正火或单独回火；批次生产；移动炉床承载；装载外形、重量、重心、支撑和上下料路径均经服务端确认兼容</x:v>
      </x:c>
      <x:c r="G7" s="40" t="str">
        <x:v>台车式周期炉</x:v>
      </x:c>
      <x:c r="H7" s="42" t="str">
        <x:v>taxonomy_and_application_mapping_verified</x:v>
      </x:c>
      <x:c r="I7" s="40" t="str">
        <x:v>tech-us-doe-process-heating-sourcebook3-2015
candidate-appmap-heavy-car-bottom</x:v>
      </x:c>
      <x:c r="J7" s="40" t="str">
        <x:v>Surface Combustion官方资料直接支持台车式批次炉、移动炉床承载，以及铸件/锻件/轴类的退火、正火和回火应用。</x:v>
      </x:c>
      <x:c r="K7" s="40" t="str">
        <x:v>将工件属于大型钢铸锻件、工艺为整件热处理、批次运行和服务端工程兼容性结合，条件推导为台车式周期炉。</x:v>
      </x:c>
      <x:c r="L7" s="40" t="str">
        <x:v>无</x:v>
      </x:c>
      <x:c r="M7" s="40" t="str">
        <x:v>根据已确认的工件、处理目的和工程兼容性条件，行业常见设备方向为“台车式周期炉”。仍需确认：材质和牌号、有效装载空间、单件与工装重量、重心、支撑跨距、上下料路径。该结果不代表苏能已确认可提供，也不是最终选型。</x:v>
      </x:c>
      <x:c r="N7" s="40" t="str">
        <x:v>需继续确认：材质和牌号、有效装载空间、单件与工装重量、重心、支撑跨距、上下料路径。</x:v>
      </x:c>
      <x:c r="O7" s="44" t="str">
        <x:v>中</x:v>
      </x:c>
      <x:c r="P7" s="40" t="str">
        <x:v>建议纳入首版候选包，等待负责人一次性批准</x:v>
      </x:c>
      <x:c r="Q7" s="40" t="str"/>
    </x:row>
    <x:row r="8" ht="82.5" customHeight="1">
      <x:c r="A8" s="40" t="str">
        <x:v>eqdir-heavy-car-bottom-v1</x:v>
      </x:c>
      <x:c r="B8" s="40" t="str">
        <x:v>large-forged-shaft|heavy-steel-normalize-temper-anneal|normalizing</x:v>
      </x:c>
      <x:c r="C8" s="40" t="str">
        <x:v>铸锻重件</x:v>
      </x:c>
      <x:c r="D8" s="40" t="str">
        <x:v>大型轴类锻件</x:v>
      </x:c>
      <x:c r="E8" s="40" t="str">
        <x:v>正火</x:v>
      </x:c>
      <x:c r="F8" s="40" t="str">
        <x:v>大型钢铸件或锻件；整件退火、正火或单独回火；批次生产；移动炉床承载；装载外形、重量、重心、支撑和上下料路径均经服务端确认兼容</x:v>
      </x:c>
      <x:c r="G8" s="40" t="str">
        <x:v>台车式周期炉</x:v>
      </x:c>
      <x:c r="H8" s="42" t="str">
        <x:v>taxonomy_and_application_mapping_verified</x:v>
      </x:c>
      <x:c r="I8" s="40" t="str">
        <x:v>tech-us-doe-process-heating-sourcebook3-2015
candidate-appmap-heavy-car-bottom</x:v>
      </x:c>
      <x:c r="J8" s="40" t="str">
        <x:v>Surface Combustion官方资料直接支持台车式批次炉、移动炉床承载，以及铸件/锻件/轴类的退火、正火和回火应用。</x:v>
      </x:c>
      <x:c r="K8" s="40" t="str">
        <x:v>将工件属于大型钢铸锻件、工艺为整件热处理、批次运行和服务端工程兼容性结合，条件推导为台车式周期炉。</x:v>
      </x:c>
      <x:c r="L8" s="40" t="str">
        <x:v>无</x:v>
      </x:c>
      <x:c r="M8" s="40" t="str">
        <x:v>根据已确认的工件、处理目的和工程兼容性条件，行业常见设备方向为“台车式周期炉”。仍需确认：材质和牌号、有效装载空间、单件与工装重量、重心、支撑跨距、上下料路径。该结果不代表苏能已确认可提供，也不是最终选型。</x:v>
      </x:c>
      <x:c r="N8" s="40" t="str">
        <x:v>需继续确认：材质和牌号、有效装载空间、单件与工装重量、重心、支撑跨距、上下料路径。</x:v>
      </x:c>
      <x:c r="O8" s="44" t="str">
        <x:v>中</x:v>
      </x:c>
      <x:c r="P8" s="40" t="str">
        <x:v>建议纳入首版候选包，等待负责人一次性批准</x:v>
      </x:c>
      <x:c r="Q8" s="40" t="str"/>
    </x:row>
    <x:row r="9" ht="82.5" customHeight="1">
      <x:c r="A9" s="40" t="str">
        <x:v>eqdir-heavy-car-bottom-v1</x:v>
      </x:c>
      <x:c r="B9" s="40" t="str">
        <x:v>large-forged-shaft|heavy-steel-normalize-temper-anneal|tempering</x:v>
      </x:c>
      <x:c r="C9" s="40" t="str">
        <x:v>铸锻重件</x:v>
      </x:c>
      <x:c r="D9" s="40" t="str">
        <x:v>大型轴类锻件</x:v>
      </x:c>
      <x:c r="E9" s="40" t="str">
        <x:v>回火</x:v>
      </x:c>
      <x:c r="F9" s="40" t="str">
        <x:v>大型钢铸件或锻件；整件退火、正火或单独回火；批次生产；移动炉床承载；装载外形、重量、重心、支撑和上下料路径均经服务端确认兼容</x:v>
      </x:c>
      <x:c r="G9" s="40" t="str">
        <x:v>台车式周期炉</x:v>
      </x:c>
      <x:c r="H9" s="42" t="str">
        <x:v>taxonomy_and_application_mapping_verified</x:v>
      </x:c>
      <x:c r="I9" s="40" t="str">
        <x:v>tech-us-doe-process-heating-sourcebook3-2015
candidate-appmap-heavy-car-bottom</x:v>
      </x:c>
      <x:c r="J9" s="40" t="str">
        <x:v>Surface Combustion官方资料直接支持台车式批次炉、移动炉床承载，以及铸件/锻件/轴类的退火、正火和回火应用。</x:v>
      </x:c>
      <x:c r="K9" s="40" t="str">
        <x:v>将工件属于大型钢铸锻件、工艺为整件热处理、批次运行和服务端工程兼容性结合，条件推导为台车式周期炉。</x:v>
      </x:c>
      <x:c r="L9" s="40" t="str">
        <x:v>无</x:v>
      </x:c>
      <x:c r="M9" s="40" t="str">
        <x:v>根据已确认的工件、处理目的和工程兼容性条件，行业常见设备方向为“台车式周期炉”。仍需确认：材质和牌号、有效装载空间、单件与工装重量、重心、支撑跨距、上下料路径。该结果不代表苏能已确认可提供，也不是最终选型。</x:v>
      </x:c>
      <x:c r="N9" s="40" t="str">
        <x:v>需继续确认：材质和牌号、有效装载空间、单件与工装重量、重心、支撑跨距、上下料路径。</x:v>
      </x:c>
      <x:c r="O9" s="44" t="str">
        <x:v>中</x:v>
      </x:c>
      <x:c r="P9" s="40" t="str">
        <x:v>建议纳入首版候选包，等待负责人一次性批准</x:v>
      </x:c>
      <x:c r="Q9" s="40" t="str"/>
    </x:row>
    <x:row r="10" ht="82.5" customHeight="1">
      <x:c r="A10" s="40" t="str">
        <x:v>eqdir-heavy-car-bottom-v1</x:v>
      </x:c>
      <x:c r="B10" s="40" t="str">
        <x:v>large-forged-shaft|heavy-steel-normalize-temper-anneal|annealing</x:v>
      </x:c>
      <x:c r="C10" s="40" t="str">
        <x:v>铸锻重件</x:v>
      </x:c>
      <x:c r="D10" s="40" t="str">
        <x:v>大型轴类锻件</x:v>
      </x:c>
      <x:c r="E10" s="40" t="str">
        <x:v>退火</x:v>
      </x:c>
      <x:c r="F10" s="40" t="str">
        <x:v>大型钢铸件或锻件；整件退火、正火或单独回火；批次生产；移动炉床承载；装载外形、重量、重心、支撑和上下料路径均经服务端确认兼容</x:v>
      </x:c>
      <x:c r="G10" s="40" t="str">
        <x:v>台车式周期炉</x:v>
      </x:c>
      <x:c r="H10" s="42" t="str">
        <x:v>taxonomy_and_application_mapping_verified</x:v>
      </x:c>
      <x:c r="I10" s="40" t="str">
        <x:v>tech-us-doe-process-heating-sourcebook3-2015
candidate-appmap-heavy-car-bottom</x:v>
      </x:c>
      <x:c r="J10" s="40" t="str">
        <x:v>Surface Combustion官方资料直接支持台车式批次炉、移动炉床承载，以及铸件/锻件/轴类的退火、正火和回火应用。</x:v>
      </x:c>
      <x:c r="K10" s="40" t="str">
        <x:v>将工件属于大型钢铸锻件、工艺为整件热处理、批次运行和服务端工程兼容性结合，条件推导为台车式周期炉。</x:v>
      </x:c>
      <x:c r="L10" s="40" t="str">
        <x:v>无</x:v>
      </x:c>
      <x:c r="M10" s="40" t="str">
        <x:v>根据已确认的工件、处理目的和工程兼容性条件，行业常见设备方向为“台车式周期炉”。仍需确认：材质和牌号、有效装载空间、单件与工装重量、重心、支撑跨距、上下料路径。该结果不代表苏能已确认可提供，也不是最终选型。</x:v>
      </x:c>
      <x:c r="N10" s="40" t="str">
        <x:v>需继续确认：材质和牌号、有效装载空间、单件与工装重量、重心、支撑跨距、上下料路径。</x:v>
      </x:c>
      <x:c r="O10" s="44" t="str">
        <x:v>中</x:v>
      </x:c>
      <x:c r="P10" s="40" t="str">
        <x:v>建议纳入首版候选包，等待负责人一次性批准</x:v>
      </x:c>
      <x:c r="Q10" s="40" t="str"/>
    </x:row>
    <x:row r="11" ht="82.5" customHeight="1">
      <x:c r="A11" s="40" t="str">
        <x:v>eqdir-heavy-car-bottom-v1</x:v>
      </x:c>
      <x:c r="B11" s="40" t="str">
        <x:v>large-steel-casting|heavy-steel-normalize-temper-anneal|normalizing</x:v>
      </x:c>
      <x:c r="C11" s="40" t="str">
        <x:v>铸锻重件</x:v>
      </x:c>
      <x:c r="D11" s="40" t="str">
        <x:v>大型铸钢件</x:v>
      </x:c>
      <x:c r="E11" s="40" t="str">
        <x:v>正火</x:v>
      </x:c>
      <x:c r="F11" s="40" t="str">
        <x:v>大型钢铸件或锻件；整件退火、正火或单独回火；批次生产；移动炉床承载；装载外形、重量、重心、支撑和上下料路径均经服务端确认兼容</x:v>
      </x:c>
      <x:c r="G11" s="40" t="str">
        <x:v>台车式周期炉</x:v>
      </x:c>
      <x:c r="H11" s="42" t="str">
        <x:v>taxonomy_and_application_mapping_verified</x:v>
      </x:c>
      <x:c r="I11" s="40" t="str">
        <x:v>tech-us-doe-process-heating-sourcebook3-2015
candidate-appmap-heavy-car-bottom</x:v>
      </x:c>
      <x:c r="J11" s="40" t="str">
        <x:v>Surface Combustion官方资料直接支持台车式批次炉、移动炉床承载，以及铸件/锻件/轴类的退火、正火和回火应用。</x:v>
      </x:c>
      <x:c r="K11" s="40" t="str">
        <x:v>将工件属于大型钢铸锻件、工艺为整件热处理、批次运行和服务端工程兼容性结合，条件推导为台车式周期炉。</x:v>
      </x:c>
      <x:c r="L11" s="40" t="str">
        <x:v>无</x:v>
      </x:c>
      <x:c r="M11" s="40" t="str">
        <x:v>根据已确认的工件、处理目的和工程兼容性条件，行业常见设备方向为“台车式周期炉”。仍需确认：材质和牌号、有效装载空间、单件与工装重量、重心、支撑跨距、上下料路径。该结果不代表苏能已确认可提供，也不是最终选型。</x:v>
      </x:c>
      <x:c r="N11" s="40" t="str">
        <x:v>需继续确认：材质和牌号、有效装载空间、单件与工装重量、重心、支撑跨距、上下料路径。</x:v>
      </x:c>
      <x:c r="O11" s="44" t="str">
        <x:v>中</x:v>
      </x:c>
      <x:c r="P11" s="40" t="str">
        <x:v>建议纳入首版候选包，等待负责人一次性批准</x:v>
      </x:c>
      <x:c r="Q11" s="40" t="str"/>
    </x:row>
    <x:row r="12" ht="82.5" customHeight="1">
      <x:c r="A12" s="40" t="str">
        <x:v>eqdir-heavy-car-bottom-v1</x:v>
      </x:c>
      <x:c r="B12" s="40" t="str">
        <x:v>large-steel-casting|heavy-steel-normalize-temper-anneal|tempering</x:v>
      </x:c>
      <x:c r="C12" s="40" t="str">
        <x:v>铸锻重件</x:v>
      </x:c>
      <x:c r="D12" s="40" t="str">
        <x:v>大型铸钢件</x:v>
      </x:c>
      <x:c r="E12" s="40" t="str">
        <x:v>回火</x:v>
      </x:c>
      <x:c r="F12" s="40" t="str">
        <x:v>大型钢铸件或锻件；整件退火、正火或单独回火；批次生产；移动炉床承载；装载外形、重量、重心、支撑和上下料路径均经服务端确认兼容</x:v>
      </x:c>
      <x:c r="G12" s="40" t="str">
        <x:v>台车式周期炉</x:v>
      </x:c>
      <x:c r="H12" s="42" t="str">
        <x:v>taxonomy_and_application_mapping_verified</x:v>
      </x:c>
      <x:c r="I12" s="40" t="str">
        <x:v>tech-us-doe-process-heating-sourcebook3-2015
candidate-appmap-heavy-car-bottom</x:v>
      </x:c>
      <x:c r="J12" s="40" t="str">
        <x:v>Surface Combustion官方资料直接支持台车式批次炉、移动炉床承载，以及铸件/锻件/轴类的退火、正火和回火应用。</x:v>
      </x:c>
      <x:c r="K12" s="40" t="str">
        <x:v>将工件属于大型钢铸锻件、工艺为整件热处理、批次运行和服务端工程兼容性结合，条件推导为台车式周期炉。</x:v>
      </x:c>
      <x:c r="L12" s="40" t="str">
        <x:v>无</x:v>
      </x:c>
      <x:c r="M12" s="40" t="str">
        <x:v>根据已确认的工件、处理目的和工程兼容性条件，行业常见设备方向为“台车式周期炉”。仍需确认：材质和牌号、有效装载空间、单件与工装重量、重心、支撑跨距、上下料路径。该结果不代表苏能已确认可提供，也不是最终选型。</x:v>
      </x:c>
      <x:c r="N12" s="40" t="str">
        <x:v>需继续确认：材质和牌号、有效装载空间、单件与工装重量、重心、支撑跨距、上下料路径。</x:v>
      </x:c>
      <x:c r="O12" s="44" t="str">
        <x:v>中</x:v>
      </x:c>
      <x:c r="P12" s="40" t="str">
        <x:v>建议纳入首版候选包，等待负责人一次性批准</x:v>
      </x:c>
      <x:c r="Q12" s="40" t="str"/>
    </x:row>
    <x:row r="13" ht="82.5" customHeight="1">
      <x:c r="A13" s="40" t="str">
        <x:v>eqdir-heavy-car-bottom-v1</x:v>
      </x:c>
      <x:c r="B13" s="40" t="str">
        <x:v>large-steel-casting|heavy-steel-normalize-temper-anneal|annealing</x:v>
      </x:c>
      <x:c r="C13" s="40" t="str">
        <x:v>铸锻重件</x:v>
      </x:c>
      <x:c r="D13" s="40" t="str">
        <x:v>大型铸钢件</x:v>
      </x:c>
      <x:c r="E13" s="40" t="str">
        <x:v>退火</x:v>
      </x:c>
      <x:c r="F13" s="40" t="str">
        <x:v>大型钢铸件或锻件；整件退火、正火或单独回火；批次生产；移动炉床承载；装载外形、重量、重心、支撑和上下料路径均经服务端确认兼容</x:v>
      </x:c>
      <x:c r="G13" s="40" t="str">
        <x:v>台车式周期炉</x:v>
      </x:c>
      <x:c r="H13" s="42" t="str">
        <x:v>taxonomy_and_application_mapping_verified</x:v>
      </x:c>
      <x:c r="I13" s="40" t="str">
        <x:v>tech-us-doe-process-heating-sourcebook3-2015
candidate-appmap-heavy-car-bottom</x:v>
      </x:c>
      <x:c r="J13" s="40" t="str">
        <x:v>Surface Combustion官方资料直接支持台车式批次炉、移动炉床承载，以及铸件/锻件/轴类的退火、正火和回火应用。</x:v>
      </x:c>
      <x:c r="K13" s="40" t="str">
        <x:v>将工件属于大型钢铸锻件、工艺为整件热处理、批次运行和服务端工程兼容性结合，条件推导为台车式周期炉。</x:v>
      </x:c>
      <x:c r="L13" s="40" t="str">
        <x:v>无</x:v>
      </x:c>
      <x:c r="M13" s="40" t="str">
        <x:v>根据已确认的工件、处理目的和工程兼容性条件，行业常见设备方向为“台车式周期炉”。仍需确认：材质和牌号、有效装载空间、单件与工装重量、重心、支撑跨距、上下料路径。该结果不代表苏能已确认可提供，也不是最终选型。</x:v>
      </x:c>
      <x:c r="N13" s="40" t="str">
        <x:v>需继续确认：材质和牌号、有效装载空间、单件与工装重量、重心、支撑跨距、上下料路径。</x:v>
      </x:c>
      <x:c r="O13" s="44" t="str">
        <x:v>中</x:v>
      </x:c>
      <x:c r="P13" s="40" t="str">
        <x:v>建议纳入首版候选包，等待负责人一次性批准</x:v>
      </x:c>
      <x:c r="Q13" s="40" t="str"/>
    </x:row>
    <x:row r="14" ht="82.5" customHeight="1">
      <x:c r="A14" s="40" t="str">
        <x:v>eqdir-wear-plate-quench-temper-line-v2</x:v>
      </x:c>
      <x:c r="B14" s="40" t="str">
        <x:v>wear-resistant-steel-plate|wear-plate-quench-review|quench-temper</x:v>
      </x:c>
      <x:c r="C14" s="40" t="str">
        <x:v>板带卷材</x:v>
      </x:c>
      <x:c r="D14" s="40" t="str">
        <x:v>耐磨钢板</x:v>
      </x:c>
      <x:c r="E14" s="40" t="str">
        <x:v>淬火与回火</x:v>
      </x:c>
      <x:c r="F14" s="40" t="str">
        <x:v>耐磨钢板整板调质；生产条件支持连续处理；奥氏体化、转移、淬火、回火和最终冷却阶段完整；板形、辊道支撑和淬火转移经服务端确认兼容</x:v>
      </x:c>
      <x:c r="G14" s="40" t="str">
        <x:v>辊底式连续调质热处理线</x:v>
      </x:c>
      <x:c r="H14" s="42" t="str">
        <x:v>taxonomy_and_application_mapping_verified</x:v>
      </x:c>
      <x:c r="I14" s="40" t="str">
        <x:v>tech-us-doe-process-heating-sourcebook3-2015
candidate-appmap-wear-plate-quench-temper</x:v>
      </x:c>
      <x:c r="J14" s="40" t="str">
        <x:v>Tenova LOI官方技术手册直接将耐磨钢厚板与奥氏体化、淬火、回火连续调质线对应。</x:v>
      </x:c>
      <x:c r="K14" s="40" t="str">
        <x:v>以耐磨板工件、完整调质工艺链、连续生产决策和板形/转移兼容性为条件，推导辊底式连续调质线。</x:v>
      </x:c>
      <x:c r="L14" s="40" t="str">
        <x:v>无</x:v>
      </x:c>
      <x:c r="M14" s="40" t="str">
        <x:v>根据已确认的工件、处理目的和工程兼容性条件，行业常见设备方向为“辊底式连续调质热处理线”。仍需确认：钢种与供货状态、板尺与板厚、板形目标、淬火介质与冷却要求、产能和换型频率。该结果不代表苏能已确认可提供，也不是最终选型。</x:v>
      </x:c>
      <x:c r="N14" s="40" t="str">
        <x:v>需继续确认：钢种与供货状态、板尺与板厚、板形目标、淬火介质与冷却要求、产能和换型频率。</x:v>
      </x:c>
      <x:c r="O14" s="44" t="str">
        <x:v>中高</x:v>
      </x:c>
      <x:c r="P14" s="40" t="str">
        <x:v>建议纳入首版候选包，等待负责人一次性批准</x:v>
      </x:c>
      <x:c r="Q14" s="40" t="str"/>
    </x:row>
    <x:row r="15" ht="82.5" customHeight="1">
      <x:c r="A15" s="40" t="str">
        <x:v>eqdir-carbon-steel-coil-bell-batch-v2</x:v>
      </x:c>
      <x:c r="B15" s="40" t="str">
        <x:v>carbon-steel-coil|coil-professional-line-review|coil-annealing</x:v>
      </x:c>
      <x:c r="C15" s="40" t="str">
        <x:v>板带卷材</x:v>
      </x:c>
      <x:c r="D15" s="40" t="str">
        <x:v>碳钢卷</x:v>
      </x:c>
      <x:c r="E15" s="40" t="str">
        <x:v>成卷退火</x:v>
      </x:c>
      <x:c r="F15" s="40" t="str">
        <x:v>碳钢带卷成卷退火；成卷批次装料；卷材堆叠、炉内循环路径、表面目标和气氛要求经工程确认</x:v>
      </x:c>
      <x:c r="G15" s="40" t="str">
        <x:v>罩式周期炉</x:v>
      </x:c>
      <x:c r="H15" s="42" t="str">
        <x:v>taxonomy_and_application_mapping_verified</x:v>
      </x:c>
      <x:c r="I15" s="40" t="str">
        <x:v>tech-us-doe-process-heating-sourcebook3-2015
candidate-appmap-carbon-steel-coil-bell</x:v>
      </x:c>
      <x:c r="J15" s="40" t="str">
        <x:v>EBNER官方资料直接支持碳钢带卷使用罩式退火设备进行成卷退火。</x:v>
      </x:c>
      <x:c r="K15" s="40" t="str">
        <x:v>将碳钢带卷、成卷退火、批次生产和卷材支撑/循环兼容性结合，推导罩式周期炉。</x:v>
      </x:c>
      <x:c r="L15" s="40" t="str">
        <x:v>无</x:v>
      </x:c>
      <x:c r="M15" s="40" t="str">
        <x:v>根据已确认的工件、处理目的和工程兼容性条件，行业常见设备方向为“罩式周期炉”。仍需确认：材料牌号、带宽、卷径、卷重、堆叠方式、表面质量和气氛要求。该结果不代表苏能已确认可提供，也不是最终选型。</x:v>
      </x:c>
      <x:c r="N15" s="40" t="str">
        <x:v>需继续确认：材料牌号、带宽、卷径、卷重、堆叠方式、表面质量和气氛要求。</x:v>
      </x:c>
      <x:c r="O15" s="44" t="str">
        <x:v>中</x:v>
      </x:c>
      <x:c r="P15" s="40" t="str">
        <x:v>建议纳入首版候选包，等待负责人一次性批准</x:v>
      </x:c>
      <x:c r="Q15" s="40" t="str"/>
    </x:row>
    <x:row r="16" ht="82.5" customHeight="1">
      <x:c r="A16" s="40" t="str">
        <x:v>eqdir-long-products-roller-thermal-v2</x:v>
      </x:c>
      <x:c r="B16" s="40" t="str">
        <x:v>seamless-steel-pipe|long-products-whole-furnace-treatment|normalizing</x:v>
      </x:c>
      <x:c r="C16" s="40" t="str">
        <x:v>管棒线材</x:v>
      </x:c>
      <x:c r="D16" s="40" t="str">
        <x:v>无缝钢管</x:v>
      </x:c>
      <x:c r="E16" s="40" t="str">
        <x:v>正火</x:v>
      </x:c>
      <x:c r="F16" s="40" t="str">
        <x:v>无缝钢管、焊接钢管或圆钢棒整材退火/正火；产能、品种和装料连续性共同支持连续生产；辊道支撑、直线度和装载尺寸经服务端确认兼容</x:v>
      </x:c>
      <x:c r="G16" s="40" t="str">
        <x:v>辊底式连续热处理炉/线</x:v>
      </x:c>
      <x:c r="H16" s="42" t="str">
        <x:v>taxonomy_and_application_mapping_verified</x:v>
      </x:c>
      <x:c r="I16" s="40" t="str">
        <x:v>tech-us-doe-process-heating-sourcebook3-2015
candidate-appmap-long-products-roller-thermal</x:v>
      </x:c>
      <x:c r="J16" s="40" t="str">
        <x:v>Tenova官方资料直接支持钢管、棒材的连续辊底式热处理，并列出退火和正火工艺。</x:v>
      </x:c>
      <x:c r="K16" s="40" t="str">
        <x:v>以整管/整棒、退火或正火、连续运行决策、辊道支撑和直线度兼容性为条件，推导辊底式连续热处理炉/线。</x:v>
      </x:c>
      <x:c r="L16" s="40" t="str">
        <x:v>无</x:v>
      </x:c>
      <x:c r="M16" s="40" t="str">
        <x:v>根据已确认的工件、处理目的和工程兼容性条件，行业常见设备方向为“辊底式连续热处理炉/线”。仍需确认：材质、截面、长度和重量、直线度或变形要求、批量、产能、换型频率和上下料连续性。该结果不代表苏能已确认可提供，也不是最终选型。</x:v>
      </x:c>
      <x:c r="N16" s="40" t="str">
        <x:v>需继续确认：材质、截面、长度和重量、直线度或变形要求、批量、产能、换型频率和上下料连续性。</x:v>
      </x:c>
      <x:c r="O16" s="44" t="str">
        <x:v>中</x:v>
      </x:c>
      <x:c r="P16" s="40" t="str">
        <x:v>建议纳入首版候选包，等待负责人一次性批准</x:v>
      </x:c>
      <x:c r="Q16" s="40" t="str"/>
    </x:row>
    <x:row r="17" ht="82.5" customHeight="1">
      <x:c r="A17" s="40" t="str">
        <x:v>eqdir-long-products-roller-thermal-v2</x:v>
      </x:c>
      <x:c r="B17" s="40" t="str">
        <x:v>seamless-steel-pipe|long-products-whole-furnace-treatment|annealing</x:v>
      </x:c>
      <x:c r="C17" s="40" t="str">
        <x:v>管棒线材</x:v>
      </x:c>
      <x:c r="D17" s="40" t="str">
        <x:v>无缝钢管</x:v>
      </x:c>
      <x:c r="E17" s="40" t="str">
        <x:v>退火</x:v>
      </x:c>
      <x:c r="F17" s="40" t="str">
        <x:v>无缝钢管、焊接钢管或圆钢棒整材退火/正火；产能、品种和装料连续性共同支持连续生产；辊道支撑、直线度和装载尺寸经服务端确认兼容</x:v>
      </x:c>
      <x:c r="G17" s="40" t="str">
        <x:v>辊底式连续热处理炉/线</x:v>
      </x:c>
      <x:c r="H17" s="42" t="str">
        <x:v>taxonomy_and_application_mapping_verified</x:v>
      </x:c>
      <x:c r="I17" s="40" t="str">
        <x:v>tech-us-doe-process-heating-sourcebook3-2015
candidate-appmap-long-products-roller-thermal</x:v>
      </x:c>
      <x:c r="J17" s="40" t="str">
        <x:v>Tenova官方资料直接支持钢管、棒材的连续辊底式热处理，并列出退火和正火工艺。</x:v>
      </x:c>
      <x:c r="K17" s="40" t="str">
        <x:v>以整管/整棒、退火或正火、连续运行决策、辊道支撑和直线度兼容性为条件，推导辊底式连续热处理炉/线。</x:v>
      </x:c>
      <x:c r="L17" s="40" t="str">
        <x:v>无</x:v>
      </x:c>
      <x:c r="M17" s="40" t="str">
        <x:v>根据已确认的工件、处理目的和工程兼容性条件，行业常见设备方向为“辊底式连续热处理炉/线”。仍需确认：材质、截面、长度和重量、直线度或变形要求、批量、产能、换型频率和上下料连续性。该结果不代表苏能已确认可提供，也不是最终选型。</x:v>
      </x:c>
      <x:c r="N17" s="40" t="str">
        <x:v>需继续确认：材质、截面、长度和重量、直线度或变形要求、批量、产能、换型频率和上下料连续性。</x:v>
      </x:c>
      <x:c r="O17" s="44" t="str">
        <x:v>中</x:v>
      </x:c>
      <x:c r="P17" s="40" t="str">
        <x:v>建议纳入首版候选包，等待负责人一次性批准</x:v>
      </x:c>
      <x:c r="Q17" s="40" t="str"/>
    </x:row>
    <x:row r="18" ht="82.5" customHeight="1">
      <x:c r="A18" s="40" t="str">
        <x:v>eqdir-long-products-roller-thermal-v2</x:v>
      </x:c>
      <x:c r="B18" s="40" t="str">
        <x:v>welded-steel-pipe|long-products-whole-furnace-treatment|normalizing</x:v>
      </x:c>
      <x:c r="C18" s="40" t="str">
        <x:v>管棒线材</x:v>
      </x:c>
      <x:c r="D18" s="40" t="str">
        <x:v>焊接钢管</x:v>
      </x:c>
      <x:c r="E18" s="40" t="str">
        <x:v>正火</x:v>
      </x:c>
      <x:c r="F18" s="40" t="str">
        <x:v>无缝钢管、焊接钢管或圆钢棒整材退火/正火；产能、品种和装料连续性共同支持连续生产；辊道支撑、直线度和装载尺寸经服务端确认兼容</x:v>
      </x:c>
      <x:c r="G18" s="40" t="str">
        <x:v>辊底式连续热处理炉/线</x:v>
      </x:c>
      <x:c r="H18" s="42" t="str">
        <x:v>taxonomy_and_application_mapping_verified</x:v>
      </x:c>
      <x:c r="I18" s="40" t="str">
        <x:v>tech-us-doe-process-heating-sourcebook3-2015
candidate-appmap-long-products-roller-thermal</x:v>
      </x:c>
      <x:c r="J18" s="40" t="str">
        <x:v>Tenova官方资料直接支持钢管、棒材的连续辊底式热处理，并列出退火和正火工艺。</x:v>
      </x:c>
      <x:c r="K18" s="40" t="str">
        <x:v>以整管/整棒、退火或正火、连续运行决策、辊道支撑和直线度兼容性为条件，推导辊底式连续热处理炉/线。</x:v>
      </x:c>
      <x:c r="L18" s="40" t="str">
        <x:v>无</x:v>
      </x:c>
      <x:c r="M18" s="40" t="str">
        <x:v>根据已确认的工件、处理目的和工程兼容性条件，行业常见设备方向为“辊底式连续热处理炉/线”。仍需确认：材质、截面、长度和重量、直线度或变形要求、批量、产能、换型频率和上下料连续性。该结果不代表苏能已确认可提供，也不是最终选型。</x:v>
      </x:c>
      <x:c r="N18" s="40" t="str">
        <x:v>需继续确认：材质、截面、长度和重量、直线度或变形要求、批量、产能、换型频率和上下料连续性。</x:v>
      </x:c>
      <x:c r="O18" s="44" t="str">
        <x:v>中</x:v>
      </x:c>
      <x:c r="P18" s="40" t="str">
        <x:v>建议纳入首版候选包，等待负责人一次性批准</x:v>
      </x:c>
      <x:c r="Q18" s="40" t="str"/>
    </x:row>
    <x:row r="19" ht="82.5" customHeight="1">
      <x:c r="A19" s="40" t="str">
        <x:v>eqdir-long-products-roller-thermal-v2</x:v>
      </x:c>
      <x:c r="B19" s="40" t="str">
        <x:v>welded-steel-pipe|long-products-whole-furnace-treatment|annealing</x:v>
      </x:c>
      <x:c r="C19" s="40" t="str">
        <x:v>管棒线材</x:v>
      </x:c>
      <x:c r="D19" s="40" t="str">
        <x:v>焊接钢管</x:v>
      </x:c>
      <x:c r="E19" s="40" t="str">
        <x:v>退火</x:v>
      </x:c>
      <x:c r="F19" s="40" t="str">
        <x:v>无缝钢管、焊接钢管或圆钢棒整材退火/正火；产能、品种和装料连续性共同支持连续生产；辊道支撑、直线度和装载尺寸经服务端确认兼容</x:v>
      </x:c>
      <x:c r="G19" s="40" t="str">
        <x:v>辊底式连续热处理炉/线</x:v>
      </x:c>
      <x:c r="H19" s="42" t="str">
        <x:v>taxonomy_and_application_mapping_verified</x:v>
      </x:c>
      <x:c r="I19" s="40" t="str">
        <x:v>tech-us-doe-process-heating-sourcebook3-2015
candidate-appmap-long-products-roller-thermal</x:v>
      </x:c>
      <x:c r="J19" s="40" t="str">
        <x:v>Tenova官方资料直接支持钢管、棒材的连续辊底式热处理，并列出退火和正火工艺。</x:v>
      </x:c>
      <x:c r="K19" s="40" t="str">
        <x:v>以整管/整棒、退火或正火、连续运行决策、辊道支撑和直线度兼容性为条件，推导辊底式连续热处理炉/线。</x:v>
      </x:c>
      <x:c r="L19" s="40" t="str">
        <x:v>无</x:v>
      </x:c>
      <x:c r="M19" s="40" t="str">
        <x:v>根据已确认的工件、处理目的和工程兼容性条件，行业常见设备方向为“辊底式连续热处理炉/线”。仍需确认：材质、截面、长度和重量、直线度或变形要求、批量、产能、换型频率和上下料连续性。该结果不代表苏能已确认可提供，也不是最终选型。</x:v>
      </x:c>
      <x:c r="N19" s="40" t="str">
        <x:v>需继续确认：材质、截面、长度和重量、直线度或变形要求、批量、产能、换型频率和上下料连续性。</x:v>
      </x:c>
      <x:c r="O19" s="44" t="str">
        <x:v>中</x:v>
      </x:c>
      <x:c r="P19" s="40" t="str">
        <x:v>建议纳入首版候选包，等待负责人一次性批准</x:v>
      </x:c>
      <x:c r="Q19" s="40" t="str"/>
    </x:row>
    <x:row r="20" ht="82.5" customHeight="1">
      <x:c r="A20" s="40" t="str">
        <x:v>eqdir-long-products-roller-thermal-v2</x:v>
      </x:c>
      <x:c r="B20" s="40" t="str">
        <x:v>round-steel-bar|long-products-whole-furnace-treatment|normalizing</x:v>
      </x:c>
      <x:c r="C20" s="40" t="str">
        <x:v>管棒线材</x:v>
      </x:c>
      <x:c r="D20" s="40" t="str">
        <x:v>圆钢 / 棒材</x:v>
      </x:c>
      <x:c r="E20" s="40" t="str">
        <x:v>正火</x:v>
      </x:c>
      <x:c r="F20" s="40" t="str">
        <x:v>无缝钢管、焊接钢管或圆钢棒整材退火/正火；产能、品种和装料连续性共同支持连续生产；辊道支撑、直线度和装载尺寸经服务端确认兼容</x:v>
      </x:c>
      <x:c r="G20" s="40" t="str">
        <x:v>辊底式连续热处理炉/线</x:v>
      </x:c>
      <x:c r="H20" s="42" t="str">
        <x:v>taxonomy_and_application_mapping_verified</x:v>
      </x:c>
      <x:c r="I20" s="40" t="str">
        <x:v>tech-us-doe-process-heating-sourcebook3-2015
candidate-appmap-long-products-roller-thermal</x:v>
      </x:c>
      <x:c r="J20" s="40" t="str">
        <x:v>Tenova官方资料直接支持钢管、棒材的连续辊底式热处理，并列出退火和正火工艺。</x:v>
      </x:c>
      <x:c r="K20" s="40" t="str">
        <x:v>以整管/整棒、退火或正火、连续运行决策、辊道支撑和直线度兼容性为条件，推导辊底式连续热处理炉/线。</x:v>
      </x:c>
      <x:c r="L20" s="40" t="str">
        <x:v>无</x:v>
      </x:c>
      <x:c r="M20" s="40" t="str">
        <x:v>根据已确认的工件、处理目的和工程兼容性条件，行业常见设备方向为“辊底式连续热处理炉/线”。仍需确认：材质、截面、长度和重量、直线度或变形要求、批量、产能、换型频率和上下料连续性。该结果不代表苏能已确认可提供，也不是最终选型。</x:v>
      </x:c>
      <x:c r="N20" s="40" t="str">
        <x:v>需继续确认：材质、截面、长度和重量、直线度或变形要求、批量、产能、换型频率和上下料连续性。</x:v>
      </x:c>
      <x:c r="O20" s="44" t="str">
        <x:v>中</x:v>
      </x:c>
      <x:c r="P20" s="40" t="str">
        <x:v>建议纳入首版候选包，等待负责人一次性批准</x:v>
      </x:c>
      <x:c r="Q20" s="40" t="str"/>
    </x:row>
    <x:row r="21" ht="82.5" customHeight="1">
      <x:c r="A21" s="40" t="str">
        <x:v>eqdir-long-products-roller-thermal-v2</x:v>
      </x:c>
      <x:c r="B21" s="40" t="str">
        <x:v>round-steel-bar|long-products-whole-furnace-treatment|annealing</x:v>
      </x:c>
      <x:c r="C21" s="40" t="str">
        <x:v>管棒线材</x:v>
      </x:c>
      <x:c r="D21" s="40" t="str">
        <x:v>圆钢 / 棒材</x:v>
      </x:c>
      <x:c r="E21" s="40" t="str">
        <x:v>退火</x:v>
      </x:c>
      <x:c r="F21" s="40" t="str">
        <x:v>无缝钢管、焊接钢管或圆钢棒整材退火/正火；产能、品种和装料连续性共同支持连续生产；辊道支撑、直线度和装载尺寸经服务端确认兼容</x:v>
      </x:c>
      <x:c r="G21" s="40" t="str">
        <x:v>辊底式连续热处理炉/线</x:v>
      </x:c>
      <x:c r="H21" s="42" t="str">
        <x:v>taxonomy_and_application_mapping_verified</x:v>
      </x:c>
      <x:c r="I21" s="40" t="str">
        <x:v>tech-us-doe-process-heating-sourcebook3-2015
candidate-appmap-long-products-roller-thermal</x:v>
      </x:c>
      <x:c r="J21" s="40" t="str">
        <x:v>Tenova官方资料直接支持钢管、棒材的连续辊底式热处理，并列出退火和正火工艺。</x:v>
      </x:c>
      <x:c r="K21" s="40" t="str">
        <x:v>以整管/整棒、退火或正火、连续运行决策、辊道支撑和直线度兼容性为条件，推导辊底式连续热处理炉/线。</x:v>
      </x:c>
      <x:c r="L21" s="40" t="str">
        <x:v>无</x:v>
      </x:c>
      <x:c r="M21" s="40" t="str">
        <x:v>根据已确认的工件、处理目的和工程兼容性条件，行业常见设备方向为“辊底式连续热处理炉/线”。仍需确认：材质、截面、长度和重量、直线度或变形要求、批量、产能、换型频率和上下料连续性。该结果不代表苏能已确认可提供，也不是最终选型。</x:v>
      </x:c>
      <x:c r="N21" s="40" t="str">
        <x:v>需继续确认：材质、截面、长度和重量、直线度或变形要求、批量、产能、换型频率和上下料连续性。</x:v>
      </x:c>
      <x:c r="O21" s="44" t="str">
        <x:v>中</x:v>
      </x:c>
      <x:c r="P21" s="40" t="str">
        <x:v>建议纳入首版候选包，等待负责人一次性批准</x:v>
      </x:c>
      <x:c r="Q21" s="40" t="str"/>
    </x:row>
    <x:row r="22" ht="82.5" customHeight="1">
      <x:c r="A22" s="40" t="str">
        <x:v>eqdir-wire-coil-bell-v1</x:v>
      </x:c>
      <x:c r="B22" s="40" t="str">
        <x:v>wire-rod-coil|coiled-wire-protective-anneal-review|spheroidizing-annealing</x:v>
      </x:c>
      <x:c r="C22" s="40" t="str">
        <x:v>管棒线材</x:v>
      </x:c>
      <x:c r="D22" s="40" t="str">
        <x:v>盘条</x:v>
      </x:c>
      <x:c r="E22" s="40" t="str">
        <x:v>球化退火</x:v>
      </x:c>
      <x:c r="F22" s="40" t="str">
        <x:v>盘条卷或钢丝卷成卷球化/再结晶退火；批次装料；卷材堆叠、炉内循环、气氛和冷却边界经工程确认</x:v>
      </x:c>
      <x:c r="G22" s="40" t="str">
        <x:v>罩式周期炉</x:v>
      </x:c>
      <x:c r="H22" s="42" t="str">
        <x:v>taxonomy_and_application_mapping_verified</x:v>
      </x:c>
      <x:c r="I22" s="40" t="str">
        <x:v>tech-us-doe-process-heating-sourcebook3-2015
candidate-appmap-wire-coil-bell</x:v>
      </x:c>
      <x:c r="J22" s="40" t="str">
        <x:v>EBNER官方资料直接支持钢丝卷的罩式退火，并明确列出球化和再结晶退火。</x:v>
      </x:c>
      <x:c r="K22" s="40" t="str">
        <x:v>将成卷盘条/钢丝、球化或再结晶退火、批次生产和卷材堆叠/循环兼容性结合，推导罩式周期炉。</x:v>
      </x:c>
      <x:c r="L22" s="40" t="str">
        <x:v>无</x:v>
      </x:c>
      <x:c r="M22" s="40" t="str">
        <x:v>根据已确认的工件、处理目的和工程兼容性条件，行业常见设备方向为“罩式周期炉”。仍需确认：材料和线径、卷径与卷重、堆叠方式、表面与气氛要求、卷内外循环和冷却边界。该结果不代表苏能已确认可提供，也不是最终选型。</x:v>
      </x:c>
      <x:c r="N22" s="40" t="str">
        <x:v>需继续确认：材料和线径、卷径与卷重、堆叠方式、表面与气氛要求、卷内外循环和冷却边界。</x:v>
      </x:c>
      <x:c r="O22" s="44" t="str">
        <x:v>中</x:v>
      </x:c>
      <x:c r="P22" s="40" t="str">
        <x:v>建议纳入首版候选包，等待负责人一次性批准</x:v>
      </x:c>
      <x:c r="Q22" s="40" t="str"/>
    </x:row>
    <x:row r="23" ht="82.5" customHeight="1">
      <x:c r="A23" s="40" t="str">
        <x:v>eqdir-wire-coil-bell-v1</x:v>
      </x:c>
      <x:c r="B23" s="40" t="str">
        <x:v>wire-rod-coil|coiled-wire-protective-anneal-review|recrystallization-annealing</x:v>
      </x:c>
      <x:c r="C23" s="40" t="str">
        <x:v>管棒线材</x:v>
      </x:c>
      <x:c r="D23" s="40" t="str">
        <x:v>盘条</x:v>
      </x:c>
      <x:c r="E23" s="40" t="str">
        <x:v>再结晶退火</x:v>
      </x:c>
      <x:c r="F23" s="40" t="str">
        <x:v>盘条卷或钢丝卷成卷球化/再结晶退火；批次装料；卷材堆叠、炉内循环、气氛和冷却边界经工程确认</x:v>
      </x:c>
      <x:c r="G23" s="40" t="str">
        <x:v>罩式周期炉</x:v>
      </x:c>
      <x:c r="H23" s="42" t="str">
        <x:v>taxonomy_and_application_mapping_verified</x:v>
      </x:c>
      <x:c r="I23" s="40" t="str">
        <x:v>tech-us-doe-process-heating-sourcebook3-2015
candidate-appmap-wire-coil-bell</x:v>
      </x:c>
      <x:c r="J23" s="40" t="str">
        <x:v>EBNER官方资料直接支持钢丝卷的罩式退火，并明确列出球化和再结晶退火。</x:v>
      </x:c>
      <x:c r="K23" s="40" t="str">
        <x:v>将成卷盘条/钢丝、球化或再结晶退火、批次生产和卷材堆叠/循环兼容性结合，推导罩式周期炉。</x:v>
      </x:c>
      <x:c r="L23" s="40" t="str">
        <x:v>无</x:v>
      </x:c>
      <x:c r="M23" s="40" t="str">
        <x:v>根据已确认的工件、处理目的和工程兼容性条件，行业常见设备方向为“罩式周期炉”。仍需确认：材料和线径、卷径与卷重、堆叠方式、表面与气氛要求、卷内外循环和冷却边界。该结果不代表苏能已确认可提供，也不是最终选型。</x:v>
      </x:c>
      <x:c r="N23" s="40" t="str">
        <x:v>需继续确认：材料和线径、卷径与卷重、堆叠方式、表面与气氛要求、卷内外循环和冷却边界。</x:v>
      </x:c>
      <x:c r="O23" s="44" t="str">
        <x:v>中</x:v>
      </x:c>
      <x:c r="P23" s="40" t="str">
        <x:v>建议纳入首版候选包，等待负责人一次性批准</x:v>
      </x:c>
      <x:c r="Q23" s="40" t="str"/>
    </x:row>
    <x:row r="24" ht="82.5" customHeight="1">
      <x:c r="A24" s="40" t="str">
        <x:v>eqdir-wire-coil-bell-v1</x:v>
      </x:c>
      <x:c r="B24" s="40" t="str">
        <x:v>steel-wire-coil|coiled-wire-protective-anneal-review|spheroidizing-annealing</x:v>
      </x:c>
      <x:c r="C24" s="40" t="str">
        <x:v>管棒线材</x:v>
      </x:c>
      <x:c r="D24" s="40" t="str">
        <x:v>钢丝卷</x:v>
      </x:c>
      <x:c r="E24" s="40" t="str">
        <x:v>球化退火</x:v>
      </x:c>
      <x:c r="F24" s="40" t="str">
        <x:v>盘条卷或钢丝卷成卷球化/再结晶退火；批次装料；卷材堆叠、炉内循环、气氛和冷却边界经工程确认</x:v>
      </x:c>
      <x:c r="G24" s="40" t="str">
        <x:v>罩式周期炉</x:v>
      </x:c>
      <x:c r="H24" s="42" t="str">
        <x:v>taxonomy_and_application_mapping_verified</x:v>
      </x:c>
      <x:c r="I24" s="40" t="str">
        <x:v>tech-us-doe-process-heating-sourcebook3-2015
candidate-appmap-wire-coil-bell</x:v>
      </x:c>
      <x:c r="J24" s="40" t="str">
        <x:v>EBNER官方资料直接支持钢丝卷的罩式退火，并明确列出球化和再结晶退火。</x:v>
      </x:c>
      <x:c r="K24" s="40" t="str">
        <x:v>将成卷盘条/钢丝、球化或再结晶退火、批次生产和卷材堆叠/循环兼容性结合，推导罩式周期炉。</x:v>
      </x:c>
      <x:c r="L24" s="40" t="str">
        <x:v>无</x:v>
      </x:c>
      <x:c r="M24" s="40" t="str">
        <x:v>根据已确认的工件、处理目的和工程兼容性条件，行业常见设备方向为“罩式周期炉”。仍需确认：材料和线径、卷径与卷重、堆叠方式、表面与气氛要求、卷内外循环和冷却边界。该结果不代表苏能已确认可提供，也不是最终选型。</x:v>
      </x:c>
      <x:c r="N24" s="40" t="str">
        <x:v>需继续确认：材料和线径、卷径与卷重、堆叠方式、表面与气氛要求、卷内外循环和冷却边界。</x:v>
      </x:c>
      <x:c r="O24" s="44" t="str">
        <x:v>中</x:v>
      </x:c>
      <x:c r="P24" s="40" t="str">
        <x:v>建议纳入首版候选包，等待负责人一次性批准</x:v>
      </x:c>
      <x:c r="Q24" s="40" t="str"/>
    </x:row>
    <x:row r="25" ht="82.5" customHeight="1">
      <x:c r="A25" s="40" t="str">
        <x:v>eqdir-wire-coil-bell-v1</x:v>
      </x:c>
      <x:c r="B25" s="40" t="str">
        <x:v>steel-wire-coil|coiled-wire-protective-anneal-review|recrystallization-annealing</x:v>
      </x:c>
      <x:c r="C25" s="40" t="str">
        <x:v>管棒线材</x:v>
      </x:c>
      <x:c r="D25" s="40" t="str">
        <x:v>钢丝卷</x:v>
      </x:c>
      <x:c r="E25" s="40" t="str">
        <x:v>再结晶退火</x:v>
      </x:c>
      <x:c r="F25" s="40" t="str">
        <x:v>盘条卷或钢丝卷成卷球化/再结晶退火；批次装料；卷材堆叠、炉内循环、气氛和冷却边界经工程确认</x:v>
      </x:c>
      <x:c r="G25" s="40" t="str">
        <x:v>罩式周期炉</x:v>
      </x:c>
      <x:c r="H25" s="42" t="str">
        <x:v>taxonomy_and_application_mapping_verified</x:v>
      </x:c>
      <x:c r="I25" s="40" t="str">
        <x:v>tech-us-doe-process-heating-sourcebook3-2015
candidate-appmap-wire-coil-bell</x:v>
      </x:c>
      <x:c r="J25" s="40" t="str">
        <x:v>EBNER官方资料直接支持钢丝卷的罩式退火，并明确列出球化和再结晶退火。</x:v>
      </x:c>
      <x:c r="K25" s="40" t="str">
        <x:v>将成卷盘条/钢丝、球化或再结晶退火、批次生产和卷材堆叠/循环兼容性结合，推导罩式周期炉。</x:v>
      </x:c>
      <x:c r="L25" s="40" t="str">
        <x:v>无</x:v>
      </x:c>
      <x:c r="M25" s="40" t="str">
        <x:v>根据已确认的工件、处理目的和工程兼容性条件，行业常见设备方向为“罩式周期炉”。仍需确认：材料和线径、卷径与卷重、堆叠方式、表面与气氛要求、卷内外循环和冷却边界。该结果不代表苏能已确认可提供，也不是最终选型。</x:v>
      </x:c>
      <x:c r="N25" s="40" t="str">
        <x:v>需继续确认：材料和线径、卷径与卷重、堆叠方式、表面与气氛要求、卷内外循环和冷却边界。</x:v>
      </x:c>
      <x:c r="O25" s="44" t="str">
        <x:v>中</x:v>
      </x:c>
      <x:c r="P25" s="40" t="str">
        <x:v>建议纳入首版候选包，等待负责人一次性批准</x:v>
      </x:c>
      <x:c r="Q25" s="40" t="str"/>
    </x:row>
    <x:row r="26" ht="82.5" customHeight="1">
      <x:c r="A26" s="40" t="str">
        <x:v>eqdir-fastener-mesh-quench-temper-v2</x:v>
      </x:c>
      <x:c r="B26" s="40" t="str">
        <x:v>high-strength-bolts|fastener-quench-temper|quench-temper</x:v>
      </x:c>
      <x:c r="C26" s="40" t="str">
        <x:v>紧固批量件</x:v>
      </x:c>
      <x:c r="D26" s="40" t="str">
        <x:v>高强度螺栓</x:v>
      </x:c>
      <x:c r="E26" s="40" t="str">
        <x:v>淬火与回火</x:v>
      </x:c>
      <x:c r="F26" s="40" t="str">
        <x:v>高强螺栓或六角螺母整体调质；批量、产能和上料连续性支持连续生产；奥氏体化、转移、淬火、回火和最终冷却完整；形状、装料密度和淬火转移经服务端确认兼容</x:v>
      </x:c>
      <x:c r="G26" s="40" t="str">
        <x:v>网带式调质热处理线</x:v>
      </x:c>
      <x:c r="H26" s="42" t="str">
        <x:v>taxonomy_and_application_mapping_verified</x:v>
      </x:c>
      <x:c r="I26" s="40" t="str">
        <x:v>tech-us-doe-process-heating-sourcebook3-2015
candidate-appmap-fastener-mesh-quench-temper</x:v>
      </x:c>
      <x:c r="J26" s="40" t="str">
        <x:v>AFC-Holcroft官方资料直接将紧固件与连续网带式热处理线对应，并列出加热、淬火、清洗和回火工艺链。</x:v>
      </x:c>
      <x:c r="K26" s="40" t="str">
        <x:v>以螺栓/螺母、完整调质工艺链、连续生产决策、网带承载和淬火转移兼容性为条件，推导网带式调质线。</x:v>
      </x:c>
      <x:c r="L26" s="40" t="str">
        <x:v>无</x:v>
      </x:c>
      <x:c r="M26" s="40" t="str">
        <x:v>根据已确认的工件、处理目的和工程兼容性条件，行业常见设备方向为“网带式调质热处理线”。仍需确认：材料和强度等级、规格与形状、装料密度与黏连风险、气氛、淬火与冷却要求、产能和换型频率。该结果不代表苏能已确认可提供，也不是最终选型。</x:v>
      </x:c>
      <x:c r="N26" s="40" t="str">
        <x:v>需继续确认：材料和强度等级、规格与形状、装料密度与黏连风险、气氛、淬火与冷却要求、产能和换型频率。</x:v>
      </x:c>
      <x:c r="O26" s="44" t="str">
        <x:v>中高</x:v>
      </x:c>
      <x:c r="P26" s="40" t="str">
        <x:v>建议纳入首版候选包，等待负责人一次性批准</x:v>
      </x:c>
      <x:c r="Q26" s="40" t="str"/>
    </x:row>
    <x:row r="27" ht="82.5" customHeight="1">
      <x:c r="A27" s="40" t="str">
        <x:v>eqdir-fastener-mesh-quench-temper-v2</x:v>
      </x:c>
      <x:c r="B27" s="40" t="str">
        <x:v>hex-nuts|fastener-quench-temper|quench-temper</x:v>
      </x:c>
      <x:c r="C27" s="40" t="str">
        <x:v>紧固批量件</x:v>
      </x:c>
      <x:c r="D27" s="40" t="str">
        <x:v>螺母</x:v>
      </x:c>
      <x:c r="E27" s="40" t="str">
        <x:v>淬火与回火</x:v>
      </x:c>
      <x:c r="F27" s="40" t="str">
        <x:v>高强螺栓或六角螺母整体调质；批量、产能和上料连续性支持连续生产；奥氏体化、转移、淬火、回火和最终冷却完整；形状、装料密度和淬火转移经服务端确认兼容</x:v>
      </x:c>
      <x:c r="G27" s="40" t="str">
        <x:v>网带式调质热处理线</x:v>
      </x:c>
      <x:c r="H27" s="42" t="str">
        <x:v>taxonomy_and_application_mapping_verified</x:v>
      </x:c>
      <x:c r="I27" s="40" t="str">
        <x:v>tech-us-doe-process-heating-sourcebook3-2015
candidate-appmap-fastener-mesh-quench-temper</x:v>
      </x:c>
      <x:c r="J27" s="40" t="str">
        <x:v>AFC-Holcroft官方资料直接将紧固件与连续网带式热处理线对应，并列出加热、淬火、清洗和回火工艺链。</x:v>
      </x:c>
      <x:c r="K27" s="40" t="str">
        <x:v>以螺栓/螺母、完整调质工艺链、连续生产决策、网带承载和淬火转移兼容性为条件，推导网带式调质线。</x:v>
      </x:c>
      <x:c r="L27" s="40" t="str">
        <x:v>无</x:v>
      </x:c>
      <x:c r="M27" s="40" t="str">
        <x:v>根据已确认的工件、处理目的和工程兼容性条件，行业常见设备方向为“网带式调质热处理线”。仍需确认：材料和强度等级、规格与形状、装料密度与黏连风险、气氛、淬火与冷却要求、产能和换型频率。该结果不代表苏能已确认可提供，也不是最终选型。</x:v>
      </x:c>
      <x:c r="N27" s="40" t="str">
        <x:v>需继续确认：材料和强度等级、规格与形状、装料密度与黏连风险、气氛、淬火与冷却要求、产能和换型频率。</x:v>
      </x:c>
      <x:c r="O27" s="44" t="str">
        <x:v>中高</x:v>
      </x:c>
      <x:c r="P27" s="40" t="str">
        <x:v>建议纳入首版候选包，等待负责人一次性批准</x:v>
      </x:c>
      <x:c r="Q27" s="40" t="str"/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c05a78fc32d84dc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.220000267028809" hidden="0" customWidth="1"/>
    <x:col min="3" max="3" width="13.329999923706055" hidden="0" customWidth="1"/>
    <x:col min="4" max="4" width="16.110000610351562" hidden="0" customWidth="1"/>
    <x:col min="5" max="5" width="8.329999923706055" hidden="0" customWidth="1"/>
    <x:col min="6" max="6" width="8.329999923706055" hidden="0" customWidth="1"/>
    <x:col min="7" max="7" width="20" hidden="0" customWidth="1"/>
    <x:col min="8" max="8" width="42.220001220703125" hidden="0" customWidth="1"/>
    <x:col min="9" max="9" width="41.11000061035156" hidden="0" customWidth="1"/>
    <x:col min="10" max="10" width="41.11000061035156" hidden="0" customWidth="1"/>
    <x:col min="11" max="11" width="44.439998626708984" hidden="0" customWidth="1"/>
    <x:col min="12" max="12" width="8.890000343322754" hidden="0" customWidth="1"/>
    <x:col min="13" max="13" width="24.440000534057617" hidden="0" customWidth="1"/>
  </x:cols>
  <x:sheetData>
    <x:row r="1" ht="28.5" customHeight="1">
      <x:c r="A1" s="3" t="str">
        <x:v>候选规则总览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1.5" customHeight="1">
      <x:c r="A2" s="7" t="str">
        <x:v>源规则仍为internal_only；表中conditional_public只是负责人批准后的拟议状态，本批未自动改写。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25.5" customHeight="1">
      <x:c r="A4" s="39" t="str">
        <x:v>ruleId</x:v>
      </x:c>
      <x:c r="B4" s="39" t="str">
        <x:v>内部执行状态</x:v>
      </x:c>
      <x:c r="C4" s="39" t="str">
        <x:v>源公开状态</x:v>
      </x:c>
      <x:c r="D4" s="39" t="str">
        <x:v>批准后拟议状态</x:v>
      </x:c>
      <x:c r="E4" s="39" t="str">
        <x:v>入选pair</x:v>
      </x:c>
      <x:c r="F4" s="39" t="str">
        <x:v>排除pair</x:v>
      </x:c>
      <x:c r="G4" s="39" t="str">
        <x:v>设备方向</x:v>
      </x:c>
      <x:c r="H4" s="39" t="str">
        <x:v>必要工况</x:v>
      </x:c>
      <x:c r="I4" s="39" t="str">
        <x:v>来源直接支持</x:v>
      </x:c>
      <x:c r="J4" s="39" t="str">
        <x:v>工程推导</x:v>
      </x:c>
      <x:c r="K4" s="39" t="str">
        <x:v>工程门禁</x:v>
      </x:c>
      <x:c r="L4" s="39" t="str">
        <x:v>风险</x:v>
      </x:c>
      <x:c r="M4" s="39" t="str">
        <x:v>建议</x:v>
      </x:c>
    </x:row>
    <x:row r="5" ht="81" customHeight="1">
      <x:c r="A5" s="40" t="str">
        <x:v>eqdir-heavy-car-bottom-v1</x:v>
      </x:c>
      <x:c r="B5" s="42" t="str">
        <x:v>eligible</x:v>
      </x:c>
      <x:c r="C5" s="44" t="str">
        <x:v>internal_only</x:v>
      </x:c>
      <x:c r="D5" s="40" t="str">
        <x:v>conditional_public</x:v>
      </x:c>
      <x:c r="E5" s="40" t="n">
        <x:v>9</x:v>
      </x:c>
      <x:c r="F5" s="40" t="n">
        <x:v>3</x:v>
      </x:c>
      <x:c r="G5" s="40" t="str">
        <x:v>台车式周期炉</x:v>
      </x:c>
      <x:c r="H5" s="40" t="str">
        <x:v>大型钢铸件或锻件；整件退火、正火或单独回火；批次生产；移动炉床承载；装载外形、重量、重心、支撑和上下料路径均经服务端确认兼容</x:v>
      </x:c>
      <x:c r="I5" s="40" t="str">
        <x:v>Surface Combustion官方资料直接支持台车式批次炉、移动炉床承载，以及铸件/锻件/轴类的退火、正火和回火应用。</x:v>
      </x:c>
      <x:c r="J5" s="40" t="str">
        <x:v>将工件属于大型钢铸锻件、工艺为整件热处理、批次运行和服务端工程兼容性结合，条件推导为台车式周期炉。</x:v>
      </x:c>
      <x:c r="K5" s="40" t="str">
        <x:v>规则中的关键假设已转为必须由服务端重新计算且明确为true的工程谓词；任一项为unknown仅显示条件候选，为false进入工程复核。</x:v>
      </x:c>
      <x:c r="L5" s="40" t="str">
        <x:v>中</x:v>
      </x:c>
      <x:c r="M5" s="40" t="str">
        <x:v>建议纳入首版候选包，等待负责人一次性批准</x:v>
      </x:c>
    </x:row>
    <x:row r="6" ht="81" customHeight="1">
      <x:c r="A6" s="40" t="str">
        <x:v>eqdir-wear-plate-quench-temper-line-v2</x:v>
      </x:c>
      <x:c r="B6" s="42" t="str">
        <x:v>eligible</x:v>
      </x:c>
      <x:c r="C6" s="44" t="str">
        <x:v>internal_only</x:v>
      </x:c>
      <x:c r="D6" s="40" t="str">
        <x:v>conditional_public</x:v>
      </x:c>
      <x:c r="E6" s="40" t="n">
        <x:v>1</x:v>
      </x:c>
      <x:c r="F6" s="40" t="n">
        <x:v>0</x:v>
      </x:c>
      <x:c r="G6" s="40" t="str">
        <x:v>辊底式连续调质热处理线</x:v>
      </x:c>
      <x:c r="H6" s="40" t="str">
        <x:v>耐磨钢板整板调质；生产条件支持连续处理；奥氏体化、转移、淬火、回火和最终冷却阶段完整；板形、辊道支撑和淬火转移经服务端确认兼容</x:v>
      </x:c>
      <x:c r="I6" s="40" t="str">
        <x:v>Tenova LOI官方技术手册直接将耐磨钢厚板与奥氏体化、淬火、回火连续调质线对应。</x:v>
      </x:c>
      <x:c r="J6" s="40" t="str">
        <x:v>以耐磨板工件、完整调质工艺链、连续生产决策和板形/转移兼容性为条件，推导辊底式连续调质线。</x:v>
      </x:c>
      <x:c r="K6" s="40" t="str">
        <x:v>规则中的关键假设已转为必须由服务端重新计算且明确为true的工程谓词；任一项为unknown仅显示条件候选，为false进入工程复核。</x:v>
      </x:c>
      <x:c r="L6" s="40" t="str">
        <x:v>中高</x:v>
      </x:c>
      <x:c r="M6" s="40" t="str">
        <x:v>建议纳入首版候选包，等待负责人一次性批准</x:v>
      </x:c>
    </x:row>
    <x:row r="7" ht="81" customHeight="1">
      <x:c r="A7" s="40" t="str">
        <x:v>eqdir-carbon-steel-coil-bell-batch-v2</x:v>
      </x:c>
      <x:c r="B7" s="42" t="str">
        <x:v>eligible</x:v>
      </x:c>
      <x:c r="C7" s="44" t="str">
        <x:v>internal_only</x:v>
      </x:c>
      <x:c r="D7" s="40" t="str">
        <x:v>conditional_public</x:v>
      </x:c>
      <x:c r="E7" s="40" t="n">
        <x:v>1</x:v>
      </x:c>
      <x:c r="F7" s="40" t="n">
        <x:v>0</x:v>
      </x:c>
      <x:c r="G7" s="40" t="str">
        <x:v>罩式周期炉</x:v>
      </x:c>
      <x:c r="H7" s="40" t="str">
        <x:v>碳钢带卷成卷退火；成卷批次装料；卷材堆叠、炉内循环路径、表面目标和气氛要求经工程确认</x:v>
      </x:c>
      <x:c r="I7" s="40" t="str">
        <x:v>EBNER官方资料直接支持碳钢带卷使用罩式退火设备进行成卷退火。</x:v>
      </x:c>
      <x:c r="J7" s="40" t="str">
        <x:v>将碳钢带卷、成卷退火、批次生产和卷材支撑/循环兼容性结合，推导罩式周期炉。</x:v>
      </x:c>
      <x:c r="K7" s="40" t="str">
        <x:v>规则中的关键假设已转为必须由服务端重新计算且明确为true的工程谓词；任一项为unknown仅显示条件候选，为false进入工程复核。</x:v>
      </x:c>
      <x:c r="L7" s="40" t="str">
        <x:v>中</x:v>
      </x:c>
      <x:c r="M7" s="40" t="str">
        <x:v>建议纳入首版候选包，等待负责人一次性批准</x:v>
      </x:c>
    </x:row>
    <x:row r="8" ht="81" customHeight="1">
      <x:c r="A8" s="40" t="str">
        <x:v>eqdir-long-products-roller-thermal-v2</x:v>
      </x:c>
      <x:c r="B8" s="42" t="str">
        <x:v>eligible</x:v>
      </x:c>
      <x:c r="C8" s="44" t="str">
        <x:v>internal_only</x:v>
      </x:c>
      <x:c r="D8" s="40" t="str">
        <x:v>conditional_public</x:v>
      </x:c>
      <x:c r="E8" s="40" t="n">
        <x:v>6</x:v>
      </x:c>
      <x:c r="F8" s="40" t="n">
        <x:v>2</x:v>
      </x:c>
      <x:c r="G8" s="40" t="str">
        <x:v>辊底式连续热处理炉/线</x:v>
      </x:c>
      <x:c r="H8" s="40" t="str">
        <x:v>无缝钢管、焊接钢管或圆钢棒整材退火/正火；产能、品种和装料连续性共同支持连续生产；辊道支撑、直线度和装载尺寸经服务端确认兼容</x:v>
      </x:c>
      <x:c r="I8" s="40" t="str">
        <x:v>Tenova官方资料直接支持钢管、棒材的连续辊底式热处理，并列出退火和正火工艺。</x:v>
      </x:c>
      <x:c r="J8" s="40" t="str">
        <x:v>以整管/整棒、退火或正火、连续运行决策、辊道支撑和直线度兼容性为条件，推导辊底式连续热处理炉/线。</x:v>
      </x:c>
      <x:c r="K8" s="40" t="str">
        <x:v>规则中的关键假设已转为必须由服务端重新计算且明确为true的工程谓词；任一项为unknown仅显示条件候选，为false进入工程复核。</x:v>
      </x:c>
      <x:c r="L8" s="40" t="str">
        <x:v>中</x:v>
      </x:c>
      <x:c r="M8" s="40" t="str">
        <x:v>建议纳入首版候选包，等待负责人一次性批准</x:v>
      </x:c>
    </x:row>
    <x:row r="9" ht="81" customHeight="1">
      <x:c r="A9" s="40" t="str">
        <x:v>eqdir-wire-coil-bell-v1</x:v>
      </x:c>
      <x:c r="B9" s="42" t="str">
        <x:v>eligible</x:v>
      </x:c>
      <x:c r="C9" s="44" t="str">
        <x:v>internal_only</x:v>
      </x:c>
      <x:c r="D9" s="40" t="str">
        <x:v>conditional_public</x:v>
      </x:c>
      <x:c r="E9" s="40" t="n">
        <x:v>4</x:v>
      </x:c>
      <x:c r="F9" s="40" t="n">
        <x:v>2</x:v>
      </x:c>
      <x:c r="G9" s="40" t="str">
        <x:v>罩式周期炉</x:v>
      </x:c>
      <x:c r="H9" s="40" t="str">
        <x:v>盘条卷或钢丝卷成卷球化/再结晶退火；批次装料；卷材堆叠、炉内循环、气氛和冷却边界经工程确认</x:v>
      </x:c>
      <x:c r="I9" s="40" t="str">
        <x:v>EBNER官方资料直接支持钢丝卷的罩式退火，并明确列出球化和再结晶退火。</x:v>
      </x:c>
      <x:c r="J9" s="40" t="str">
        <x:v>将成卷盘条/钢丝、球化或再结晶退火、批次生产和卷材堆叠/循环兼容性结合，推导罩式周期炉。</x:v>
      </x:c>
      <x:c r="K9" s="40" t="str">
        <x:v>规则中的关键假设已转为必须由服务端重新计算且明确为true的工程谓词；任一项为unknown仅显示条件候选，为false进入工程复核。</x:v>
      </x:c>
      <x:c r="L9" s="40" t="str">
        <x:v>中</x:v>
      </x:c>
      <x:c r="M9" s="40" t="str">
        <x:v>建议纳入首版候选包，等待负责人一次性批准</x:v>
      </x:c>
    </x:row>
    <x:row r="10" ht="81" customHeight="1">
      <x:c r="A10" s="40" t="str">
        <x:v>eqdir-fastener-mesh-quench-temper-v2</x:v>
      </x:c>
      <x:c r="B10" s="42" t="str">
        <x:v>eligible</x:v>
      </x:c>
      <x:c r="C10" s="44" t="str">
        <x:v>internal_only</x:v>
      </x:c>
      <x:c r="D10" s="40" t="str">
        <x:v>conditional_public</x:v>
      </x:c>
      <x:c r="E10" s="40" t="n">
        <x:v>2</x:v>
      </x:c>
      <x:c r="F10" s="40" t="n">
        <x:v>1</x:v>
      </x:c>
      <x:c r="G10" s="40" t="str">
        <x:v>网带式调质热处理线</x:v>
      </x:c>
      <x:c r="H10" s="40" t="str">
        <x:v>高强螺栓或六角螺母整体调质；批量、产能和上料连续性支持连续生产；奥氏体化、转移、淬火、回火和最终冷却完整；形状、装料密度和淬火转移经服务端确认兼容</x:v>
      </x:c>
      <x:c r="I10" s="40" t="str">
        <x:v>AFC-Holcroft官方资料直接将紧固件与连续网带式热处理线对应，并列出加热、淬火、清洗和回火工艺链。</x:v>
      </x:c>
      <x:c r="J10" s="40" t="str">
        <x:v>以螺栓/螺母、完整调质工艺链、连续生产决策、网带承载和淬火转移兼容性为条件，推导网带式调质线。</x:v>
      </x:c>
      <x:c r="K10" s="40" t="str">
        <x:v>规则中的关键假设已转为必须由服务端重新计算且明确为true的工程谓词；任一项为unknown仅显示条件候选，为false进入工程复核。</x:v>
      </x:c>
      <x:c r="L10" s="40" t="str">
        <x:v>中高</x:v>
      </x:c>
      <x:c r="M10" s="40" t="str">
        <x:v>建议纳入首版候选包，等待负责人一次性批准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eece65f54ce54d8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14.4399995803833" hidden="0" customWidth="1"/>
    <x:col min="3" max="3" width="14.4399995803833" hidden="0" customWidth="1"/>
    <x:col min="4" max="4" width="8.329999923706055" hidden="0" customWidth="1"/>
    <x:col min="5" max="5" width="8.329999923706055" hidden="0" customWidth="1"/>
    <x:col min="6" max="6" width="8.329999923706055" hidden="0" customWidth="1"/>
    <x:col min="7" max="7" width="13.329999923706055" hidden="0" customWidth="1"/>
    <x:col min="8" max="8" width="65.55999755859375" hidden="0" customWidth="1"/>
  </x:cols>
  <x:sheetData>
    <x:row r="1" ht="28.5" customHeight="1">
      <x:c r="A1" s="3" t="str">
        <x:v>56条规则全量入选与排除对账</x:v>
      </x:c>
      <x:c r="B1" s="3"/>
      <x:c r="C1" s="3"/>
      <x:c r="D1" s="3"/>
      <x:c r="E1" s="3"/>
      <x:c r="F1" s="3"/>
      <x:c r="G1" s="3"/>
      <x:c r="H1" s="3"/>
    </x:row>
    <x:row r="2" ht="31.5" customHeight="1">
      <x:c r="A2" s="7" t="str">
        <x:v>全部56个ruleId均列出；未入选不等于删除，只表示本批不进入首版公开候选包。</x:v>
      </x:c>
      <x:c r="B2" s="7"/>
      <x:c r="C2" s="7"/>
      <x:c r="D2" s="7"/>
      <x:c r="E2" s="7"/>
      <x:c r="F2" s="7"/>
      <x:c r="G2" s="7"/>
      <x:c r="H2" s="7"/>
    </x:row>
    <x:row r="4" ht="25.5" customHeight="1">
      <x:c r="A4" s="39" t="str">
        <x:v>ruleId</x:v>
      </x:c>
      <x:c r="B4" s="39" t="str">
        <x:v>内部执行状态</x:v>
      </x:c>
      <x:c r="C4" s="39" t="str">
        <x:v>当前公开状态</x:v>
      </x:c>
      <x:c r="D4" s="39" t="str">
        <x:v>总pair</x:v>
      </x:c>
      <x:c r="E4" s="39" t="str">
        <x:v>入选pair</x:v>
      </x:c>
      <x:c r="F4" s="39" t="str">
        <x:v>排除pair</x:v>
      </x:c>
      <x:c r="G4" s="39" t="str">
        <x:v>首版状态</x:v>
      </x:c>
      <x:c r="H4" s="39" t="str">
        <x:v>排除或保留原因</x:v>
      </x:c>
    </x:row>
    <x:row r="5" ht="48" customHeight="1">
      <x:c r="A5" s="40" t="str">
        <x:v>eqdir-wear-plate-quench-temper-line-v2</x:v>
      </x:c>
      <x:c r="B5" s="40" t="str">
        <x:v>eligible</x:v>
      </x:c>
      <x:c r="C5" s="40" t="str">
        <x:v>internal_only</x:v>
      </x:c>
      <x:c r="D5" s="40" t="n">
        <x:v>1</x:v>
      </x:c>
      <x:c r="E5" s="40" t="n">
        <x:v>1</x:v>
      </x:c>
      <x:c r="F5" s="40" t="n">
        <x:v>0</x:v>
      </x:c>
      <x:c r="G5" s="40" t="str">
        <x:v>full_candidate</x:v>
      </x:c>
      <x:c r="H5" s="40" t="str">
        <x:v>全部允许pair已进入候选包。</x:v>
      </x:c>
    </x:row>
    <x:row r="6" ht="48" customHeight="1">
      <x:c r="A6" s="40" t="str">
        <x:v>eqdir-aluminum-plate-solution-quench-v2</x:v>
      </x:c>
      <x:c r="B6" s="40" t="str">
        <x:v>blocked</x:v>
      </x:c>
      <x:c r="C6" s="40" t="str">
        <x:v>blocked</x:v>
      </x:c>
      <x:c r="D6" s="40" t="n">
        <x:v>1</x:v>
      </x:c>
      <x:c r="E6" s="40" t="n">
        <x:v>0</x:v>
      </x:c>
      <x:c r="F6" s="40" t="n">
        <x:v>1</x:v>
      </x:c>
      <x:c r="G6" s="40" t="str">
        <x:v>not_selected</x:v>
      </x:c>
      <x:c r="H6" s="40" t="str">
        <x:v>blocked：当前不参与候选或公开。</x:v>
      </x:c>
    </x:row>
    <x:row r="7" ht="48" customHeight="1">
      <x:c r="A7" s="40" t="str">
        <x:v>eqdir-stainless-solution-batch-v1</x:v>
      </x:c>
      <x:c r="B7" s="40" t="str">
        <x:v>pending_blocked</x:v>
      </x:c>
      <x:c r="C7" s="40" t="str">
        <x:v>internal_only</x:v>
      </x:c>
      <x:c r="D7" s="40" t="n">
        <x:v>1</x:v>
      </x:c>
      <x:c r="E7" s="40" t="n">
        <x:v>0</x:v>
      </x:c>
      <x:c r="F7" s="40" t="n">
        <x:v>1</x:v>
      </x:c>
      <x:c r="G7" s="40" t="str">
        <x:v>not_selected</x:v>
      </x:c>
      <x:c r="H7" s="40" t="str">
        <x:v>pending_blocked：当前不参与候选或公开。</x:v>
      </x:c>
    </x:row>
    <x:row r="8" ht="48" customHeight="1">
      <x:c r="A8" s="40" t="str">
        <x:v>eqdir-stainless-protective-batch-v1</x:v>
      </x:c>
      <x:c r="B8" s="40" t="str">
        <x:v>blocked</x:v>
      </x:c>
      <x:c r="C8" s="40" t="str">
        <x:v>blocked</x:v>
      </x:c>
      <x:c r="D8" s="40" t="n">
        <x:v>1</x:v>
      </x:c>
      <x:c r="E8" s="40" t="n">
        <x:v>0</x:v>
      </x:c>
      <x:c r="F8" s="40" t="n">
        <x:v>1</x:v>
      </x:c>
      <x:c r="G8" s="40" t="str">
        <x:v>not_selected</x:v>
      </x:c>
      <x:c r="H8" s="40" t="str">
        <x:v>blocked：当前不参与候选或公开。</x:v>
      </x:c>
    </x:row>
    <x:row r="9" ht="48" customHeight="1">
      <x:c r="A9" s="40" t="str">
        <x:v>eqdir-stainless-continuous-v1</x:v>
      </x:c>
      <x:c r="B9" s="40" t="str">
        <x:v>pending_blocked</x:v>
      </x:c>
      <x:c r="C9" s="40" t="str">
        <x:v>internal_only</x:v>
      </x:c>
      <x:c r="D9" s="40" t="n">
        <x:v>1</x:v>
      </x:c>
      <x:c r="E9" s="40" t="n">
        <x:v>0</x:v>
      </x:c>
      <x:c r="F9" s="40" t="n">
        <x:v>1</x:v>
      </x:c>
      <x:c r="G9" s="40" t="str">
        <x:v>not_selected</x:v>
      </x:c>
      <x:c r="H9" s="40" t="str">
        <x:v>pending_blocked：当前不参与候选或公开。</x:v>
      </x:c>
    </x:row>
    <x:row r="10" ht="48" customHeight="1">
      <x:c r="A10" s="40" t="str">
        <x:v>eqdir-aluminum-coil-bell-batch-v2</x:v>
      </x:c>
      <x:c r="B10" s="40" t="str">
        <x:v>blocked</x:v>
      </x:c>
      <x:c r="C10" s="40" t="str">
        <x:v>blocked</x:v>
      </x:c>
      <x:c r="D10" s="40" t="n">
        <x:v>1</x:v>
      </x:c>
      <x:c r="E10" s="40" t="n">
        <x:v>0</x:v>
      </x:c>
      <x:c r="F10" s="40" t="n">
        <x:v>1</x:v>
      </x:c>
      <x:c r="G10" s="40" t="str">
        <x:v>not_selected</x:v>
      </x:c>
      <x:c r="H10" s="40" t="str">
        <x:v>blocked：当前不参与候选或公开。</x:v>
      </x:c>
    </x:row>
    <x:row r="11" ht="48" customHeight="1">
      <x:c r="A11" s="40" t="str">
        <x:v>eqdir-aluminum-strip-continuous-v2</x:v>
      </x:c>
      <x:c r="B11" s="40" t="str">
        <x:v>eligible</x:v>
      </x:c>
      <x:c r="C11" s="40" t="str">
        <x:v>internal_only</x:v>
      </x:c>
      <x:c r="D11" s="40" t="n">
        <x:v>1</x:v>
      </x:c>
      <x:c r="E11" s="40" t="n">
        <x:v>0</x:v>
      </x:c>
      <x:c r="F11" s="40" t="n">
        <x:v>1</x:v>
      </x:c>
      <x:c r="G11" s="40" t="str">
        <x:v>not_selected</x:v>
      </x:c>
      <x:c r="H11" s="40" t="str">
        <x:v>本批未取得能直接覆盖具体工件、处理目的和设备方向的应用级证据，继续保持内部。</x:v>
      </x:c>
    </x:row>
    <x:row r="12" ht="48" customHeight="1">
      <x:c r="A12" s="40" t="str">
        <x:v>eqdir-carbon-steel-coil-bell-batch-v2</x:v>
      </x:c>
      <x:c r="B12" s="40" t="str">
        <x:v>eligible</x:v>
      </x:c>
      <x:c r="C12" s="40" t="str">
        <x:v>internal_only</x:v>
      </x:c>
      <x:c r="D12" s="40" t="n">
        <x:v>1</x:v>
      </x:c>
      <x:c r="E12" s="40" t="n">
        <x:v>1</x:v>
      </x:c>
      <x:c r="F12" s="40" t="n">
        <x:v>0</x:v>
      </x:c>
      <x:c r="G12" s="40" t="str">
        <x:v>full_candidate</x:v>
      </x:c>
      <x:c r="H12" s="40" t="str">
        <x:v>全部允许pair已进入候选包。</x:v>
      </x:c>
    </x:row>
    <x:row r="13" ht="48" customHeight="1">
      <x:c r="A13" s="40" t="str">
        <x:v>eqdir-carbon-steel-strip-continuous-v2</x:v>
      </x:c>
      <x:c r="B13" s="40" t="str">
        <x:v>eligible</x:v>
      </x:c>
      <x:c r="C13" s="40" t="str">
        <x:v>internal_only</x:v>
      </x:c>
      <x:c r="D13" s="40" t="n">
        <x:v>1</x:v>
      </x:c>
      <x:c r="E13" s="40" t="n">
        <x:v>0</x:v>
      </x:c>
      <x:c r="F13" s="40" t="n">
        <x:v>1</x:v>
      </x:c>
      <x:c r="G13" s="40" t="str">
        <x:v>not_selected</x:v>
      </x:c>
      <x:c r="H13" s="40" t="str">
        <x:v>本批未取得能直接覆盖具体工件、处理目的和设备方向的应用级证据，继续保持内部。</x:v>
      </x:c>
    </x:row>
    <x:row r="14" ht="48" customHeight="1">
      <x:c r="A14" s="40" t="str">
        <x:v>eqdir-chain-component-mesh-quench-temper-v2</x:v>
      </x:c>
      <x:c r="B14" s="40" t="str">
        <x:v>pending_blocked</x:v>
      </x:c>
      <x:c r="C14" s="40" t="str">
        <x:v>internal_only</x:v>
      </x:c>
      <x:c r="D14" s="40" t="n">
        <x:v>1</x:v>
      </x:c>
      <x:c r="E14" s="40" t="n">
        <x:v>0</x:v>
      </x:c>
      <x:c r="F14" s="40" t="n">
        <x:v>1</x:v>
      </x:c>
      <x:c r="G14" s="40" t="str">
        <x:v>not_selected</x:v>
      </x:c>
      <x:c r="H14" s="40" t="str">
        <x:v>pending_blocked：当前不参与候选或公开。</x:v>
      </x:c>
    </x:row>
    <x:row r="15" ht="48" customHeight="1">
      <x:c r="A15" s="40" t="str">
        <x:v>eqdir-chain-component-batch-quench-temper-v2</x:v>
      </x:c>
      <x:c r="B15" s="40" t="str">
        <x:v>pending_blocked</x:v>
      </x:c>
      <x:c r="C15" s="40" t="str">
        <x:v>internal_only</x:v>
      </x:c>
      <x:c r="D15" s="40" t="n">
        <x:v>1</x:v>
      </x:c>
      <x:c r="E15" s="40" t="n">
        <x:v>0</x:v>
      </x:c>
      <x:c r="F15" s="40" t="n">
        <x:v>1</x:v>
      </x:c>
      <x:c r="G15" s="40" t="str">
        <x:v>not_selected</x:v>
      </x:c>
      <x:c r="H15" s="40" t="str">
        <x:v>pending_blocked：当前不参与候选或公开。</x:v>
      </x:c>
    </x:row>
    <x:row r="16" ht="48" customHeight="1">
      <x:c r="A16" s="40" t="str">
        <x:v>eqdir-small-spring-stress-relief-continuous-v2</x:v>
      </x:c>
      <x:c r="B16" s="40" t="str">
        <x:v>eligible</x:v>
      </x:c>
      <x:c r="C16" s="40" t="str">
        <x:v>internal_only</x:v>
      </x:c>
      <x:c r="D16" s="40" t="n">
        <x:v>1</x:v>
      </x:c>
      <x:c r="E16" s="40" t="n">
        <x:v>0</x:v>
      </x:c>
      <x:c r="F16" s="40" t="n">
        <x:v>1</x:v>
      </x:c>
      <x:c r="G16" s="40" t="str">
        <x:v>not_selected</x:v>
      </x:c>
      <x:c r="H16" s="40" t="str">
        <x:v>本批未取得能直接覆盖具体工件、处理目的和设备方向的应用级证据，继续保持内部。</x:v>
      </x:c>
    </x:row>
    <x:row r="17" ht="48" customHeight="1">
      <x:c r="A17" s="40" t="str">
        <x:v>eqdir-small-spring-stress-relief-batch-v2</x:v>
      </x:c>
      <x:c r="B17" s="40" t="str">
        <x:v>pending_blocked</x:v>
      </x:c>
      <x:c r="C17" s="40" t="str">
        <x:v>internal_only</x:v>
      </x:c>
      <x:c r="D17" s="40" t="n">
        <x:v>1</x:v>
      </x:c>
      <x:c r="E17" s="40" t="n">
        <x:v>0</x:v>
      </x:c>
      <x:c r="F17" s="40" t="n">
        <x:v>1</x:v>
      </x:c>
      <x:c r="G17" s="40" t="str">
        <x:v>not_selected</x:v>
      </x:c>
      <x:c r="H17" s="40" t="str">
        <x:v>pending_blocked：当前不参与候选或公开。</x:v>
      </x:c>
    </x:row>
    <x:row r="18" ht="48" customHeight="1">
      <x:c r="A18" s="40" t="str">
        <x:v>eqdir-small-spring-quench-temper-continuous-v2</x:v>
      </x:c>
      <x:c r="B18" s="40" t="str">
        <x:v>blocked</x:v>
      </x:c>
      <x:c r="C18" s="40" t="str">
        <x:v>blocked</x:v>
      </x:c>
      <x:c r="D18" s="40" t="n">
        <x:v>1</x:v>
      </x:c>
      <x:c r="E18" s="40" t="n">
        <x:v>0</x:v>
      </x:c>
      <x:c r="F18" s="40" t="n">
        <x:v>1</x:v>
      </x:c>
      <x:c r="G18" s="40" t="str">
        <x:v>not_selected</x:v>
      </x:c>
      <x:c r="H18" s="40" t="str">
        <x:v>blocked：当前不参与候选或公开。</x:v>
      </x:c>
    </x:row>
    <x:row r="19" ht="48" customHeight="1">
      <x:c r="A19" s="40" t="str">
        <x:v>eqdir-small-spring-quench-temper-batch-v2</x:v>
      </x:c>
      <x:c r="B19" s="40" t="str">
        <x:v>pending_blocked</x:v>
      </x:c>
      <x:c r="C19" s="40" t="str">
        <x:v>internal_only</x:v>
      </x:c>
      <x:c r="D19" s="40" t="n">
        <x:v>1</x:v>
      </x:c>
      <x:c r="E19" s="40" t="n">
        <x:v>0</x:v>
      </x:c>
      <x:c r="F19" s="40" t="n">
        <x:v>1</x:v>
      </x:c>
      <x:c r="G19" s="40" t="str">
        <x:v>not_selected</x:v>
      </x:c>
      <x:c r="H19" s="40" t="str">
        <x:v>pending_blocked：当前不参与候选或公开。</x:v>
      </x:c>
    </x:row>
    <x:row r="20" ht="48" customHeight="1">
      <x:c r="A20" s="40" t="str">
        <x:v>eqdir-large-gear-quench-temper-line-v2</x:v>
      </x:c>
      <x:c r="B20" s="40" t="str">
        <x:v>blocked</x:v>
      </x:c>
      <x:c r="C20" s="40" t="str">
        <x:v>blocked</x:v>
      </x:c>
      <x:c r="D20" s="40" t="n">
        <x:v>2</x:v>
      </x:c>
      <x:c r="E20" s="40" t="n">
        <x:v>0</x:v>
      </x:c>
      <x:c r="F20" s="40" t="n">
        <x:v>2</x:v>
      </x:c>
      <x:c r="G20" s="40" t="str">
        <x:v>not_selected</x:v>
      </x:c>
      <x:c r="H20" s="40" t="str">
        <x:v>blocked：当前不参与候选或公开。</x:v>
      </x:c>
    </x:row>
    <x:row r="21" ht="48" customHeight="1">
      <x:c r="A21" s="40" t="str">
        <x:v>eqdir-aluminum-plate-anneal-aging-v2</x:v>
      </x:c>
      <x:c r="B21" s="40" t="str">
        <x:v>eligible</x:v>
      </x:c>
      <x:c r="C21" s="40" t="str">
        <x:v>internal_only</x:v>
      </x:c>
      <x:c r="D21" s="40" t="n">
        <x:v>2</x:v>
      </x:c>
      <x:c r="E21" s="40" t="n">
        <x:v>0</x:v>
      </x:c>
      <x:c r="F21" s="40" t="n">
        <x:v>2</x:v>
      </x:c>
      <x:c r="G21" s="40" t="str">
        <x:v>not_selected</x:v>
      </x:c>
      <x:c r="H21" s="40" t="str">
        <x:v>本批未取得能直接覆盖具体工件、处理目的和设备方向的应用级证据，继续保持内部。</x:v>
      </x:c>
    </x:row>
    <x:row r="22" ht="48" customHeight="1">
      <x:c r="A22" s="40" t="str">
        <x:v>eqdir-steel-plate-batch-thermal-v2</x:v>
      </x:c>
      <x:c r="B22" s="40" t="str">
        <x:v>blocked</x:v>
      </x:c>
      <x:c r="C22" s="40" t="str">
        <x:v>blocked</x:v>
      </x:c>
      <x:c r="D22" s="40" t="n">
        <x:v>3</x:v>
      </x:c>
      <x:c r="E22" s="40" t="n">
        <x:v>0</x:v>
      </x:c>
      <x:c r="F22" s="40" t="n">
        <x:v>3</x:v>
      </x:c>
      <x:c r="G22" s="40" t="str">
        <x:v>not_selected</x:v>
      </x:c>
      <x:c r="H22" s="40" t="str">
        <x:v>blocked：当前不参与候选或公开。</x:v>
      </x:c>
    </x:row>
    <x:row r="23" ht="48" customHeight="1">
      <x:c r="A23" s="40" t="str">
        <x:v>eqdir-fastener-mesh-quench-temper-v2</x:v>
      </x:c>
      <x:c r="B23" s="40" t="str">
        <x:v>eligible</x:v>
      </x:c>
      <x:c r="C23" s="40" t="str">
        <x:v>internal_only</x:v>
      </x:c>
      <x:c r="D23" s="40" t="n">
        <x:v>3</x:v>
      </x:c>
      <x:c r="E23" s="40" t="n">
        <x:v>2</x:v>
      </x:c>
      <x:c r="F23" s="40" t="n">
        <x:v>1</x:v>
      </x:c>
      <x:c r="G23" s="40" t="str">
        <x:v>partial_candidate</x:v>
      </x:c>
      <x:c r="H23" s="40" t="str">
        <x:v>部分入选；1个pair排除：钢销不能仅凭名称等同为适合网带处理的紧固件，本批不入选。</x:v>
      </x:c>
    </x:row>
    <x:row r="24" ht="48" customHeight="1">
      <x:c r="A24" s="40" t="str">
        <x:v>eqdir-fastener-batch-quench-temper-v2</x:v>
      </x:c>
      <x:c r="B24" s="40" t="str">
        <x:v>pending_blocked</x:v>
      </x:c>
      <x:c r="C24" s="40" t="str">
        <x:v>internal_only</x:v>
      </x:c>
      <x:c r="D24" s="40" t="n">
        <x:v>3</x:v>
      </x:c>
      <x:c r="E24" s="40" t="n">
        <x:v>0</x:v>
      </x:c>
      <x:c r="F24" s="40" t="n">
        <x:v>3</x:v>
      </x:c>
      <x:c r="G24" s="40" t="str">
        <x:v>not_selected</x:v>
      </x:c>
      <x:c r="H24" s="40" t="str">
        <x:v>pending_blocked：当前不参与候选或公开。</x:v>
      </x:c>
    </x:row>
    <x:row r="25" ht="48" customHeight="1">
      <x:c r="A25" s="40" t="str">
        <x:v>eqdir-shaft-quench-temper-line-v2</x:v>
      </x:c>
      <x:c r="B25" s="40" t="str">
        <x:v>blocked</x:v>
      </x:c>
      <x:c r="C25" s="40" t="str">
        <x:v>blocked</x:v>
      </x:c>
      <x:c r="D25" s="40" t="n">
        <x:v>4</x:v>
      </x:c>
      <x:c r="E25" s="40" t="n">
        <x:v>0</x:v>
      </x:c>
      <x:c r="F25" s="40" t="n">
        <x:v>4</x:v>
      </x:c>
      <x:c r="G25" s="40" t="str">
        <x:v>not_selected</x:v>
      </x:c>
      <x:c r="H25" s="40" t="str">
        <x:v>blocked：当前不参与候选或公开。</x:v>
      </x:c>
    </x:row>
    <x:row r="26" ht="48" customHeight="1">
      <x:c r="A26" s="40" t="str">
        <x:v>eqdir-long-products-roller-quench-temper-v2</x:v>
      </x:c>
      <x:c r="B26" s="40" t="str">
        <x:v>eligible</x:v>
      </x:c>
      <x:c r="C26" s="40" t="str">
        <x:v>internal_only</x:v>
      </x:c>
      <x:c r="D26" s="40" t="n">
        <x:v>4</x:v>
      </x:c>
      <x:c r="E26" s="40" t="n">
        <x:v>0</x:v>
      </x:c>
      <x:c r="F26" s="40" t="n">
        <x:v>4</x:v>
      </x:c>
      <x:c r="G26" s="40" t="str">
        <x:v>not_selected</x:v>
      </x:c>
      <x:c r="H26" s="40" t="str">
        <x:v>本批未取得能直接覆盖具体工件、处理目的和设备方向的应用级证据，继续保持内部。</x:v>
      </x:c>
    </x:row>
    <x:row r="27" ht="48" customHeight="1">
      <x:c r="A27" s="40" t="str">
        <x:v>eqdir-long-products-fixed-hearth-quench-temper-v2</x:v>
      </x:c>
      <x:c r="B27" s="40" t="str">
        <x:v>pending_blocked</x:v>
      </x:c>
      <x:c r="C27" s="40" t="str">
        <x:v>internal_only</x:v>
      </x:c>
      <x:c r="D27" s="40" t="n">
        <x:v>4</x:v>
      </x:c>
      <x:c r="E27" s="40" t="n">
        <x:v>0</x:v>
      </x:c>
      <x:c r="F27" s="40" t="n">
        <x:v>4</x:v>
      </x:c>
      <x:c r="G27" s="40" t="str">
        <x:v>not_selected</x:v>
      </x:c>
      <x:c r="H27" s="40" t="str">
        <x:v>pending_blocked：当前不参与候选或公开。</x:v>
      </x:c>
    </x:row>
    <x:row r="28" ht="48" customHeight="1">
      <x:c r="A28" s="40" t="str">
        <x:v>eqdir-long-products-vertical-quench-temper-v2</x:v>
      </x:c>
      <x:c r="B28" s="40" t="str">
        <x:v>blocked</x:v>
      </x:c>
      <x:c r="C28" s="40" t="str">
        <x:v>blocked</x:v>
      </x:c>
      <x:c r="D28" s="40" t="n">
        <x:v>4</x:v>
      </x:c>
      <x:c r="E28" s="40" t="n">
        <x:v>0</x:v>
      </x:c>
      <x:c r="F28" s="40" t="n">
        <x:v>4</x:v>
      </x:c>
      <x:c r="G28" s="40" t="str">
        <x:v>not_selected</x:v>
      </x:c>
      <x:c r="H28" s="40" t="str">
        <x:v>blocked：当前不参与候选或公开。</x:v>
      </x:c>
    </x:row>
    <x:row r="29" ht="48" customHeight="1">
      <x:c r="A29" s="40" t="str">
        <x:v>eqdir-welded-car-bottom-v1</x:v>
      </x:c>
      <x:c r="B29" s="40" t="str">
        <x:v>eligible</x:v>
      </x:c>
      <x:c r="C29" s="40" t="str">
        <x:v>internal_only</x:v>
      </x:c>
      <x:c r="D29" s="40" t="n">
        <x:v>6</x:v>
      </x:c>
      <x:c r="E29" s="40" t="n">
        <x:v>0</x:v>
      </x:c>
      <x:c r="F29" s="40" t="n">
        <x:v>6</x:v>
      </x:c>
      <x:c r="G29" s="40" t="str">
        <x:v>not_selected</x:v>
      </x:c>
      <x:c r="H29" s="40" t="str">
        <x:v>本批未取得能直接覆盖具体工件、处理目的和设备方向的应用级证据，继续保持内部。</x:v>
      </x:c>
    </x:row>
    <x:row r="30" ht="48" customHeight="1">
      <x:c r="A30" s="40" t="str">
        <x:v>eqdir-welded-pwht-whole-car-bottom-v2</x:v>
      </x:c>
      <x:c r="B30" s="40" t="str">
        <x:v>eligible</x:v>
      </x:c>
      <x:c r="C30" s="40" t="str">
        <x:v>internal_only</x:v>
      </x:c>
      <x:c r="D30" s="40" t="n">
        <x:v>6</x:v>
      </x:c>
      <x:c r="E30" s="40" t="n">
        <x:v>0</x:v>
      </x:c>
      <x:c r="F30" s="40" t="n">
        <x:v>6</x:v>
      </x:c>
      <x:c r="G30" s="40" t="str">
        <x:v>not_selected</x:v>
      </x:c>
      <x:c r="H30" s="40" t="str">
        <x:v>本批未取得能直接覆盖具体工件、处理目的和设备方向的应用级证据，继续保持内部。</x:v>
      </x:c>
    </x:row>
    <x:row r="31" ht="48" customHeight="1">
      <x:c r="A31" s="40" t="str">
        <x:v>eqdir-welded-vertical-v1</x:v>
      </x:c>
      <x:c r="B31" s="40" t="str">
        <x:v>blocked</x:v>
      </x:c>
      <x:c r="C31" s="40" t="str">
        <x:v>blocked</x:v>
      </x:c>
      <x:c r="D31" s="40" t="n">
        <x:v>6</x:v>
      </x:c>
      <x:c r="E31" s="40" t="n">
        <x:v>0</x:v>
      </x:c>
      <x:c r="F31" s="40" t="n">
        <x:v>6</x:v>
      </x:c>
      <x:c r="G31" s="40" t="str">
        <x:v>not_selected</x:v>
      </x:c>
      <x:c r="H31" s="40" t="str">
        <x:v>blocked：当前不参与候选或公开。</x:v>
      </x:c>
    </x:row>
    <x:row r="32" ht="48" customHeight="1">
      <x:c r="A32" s="40" t="str">
        <x:v>eqdir-welded-pwht-whole-vertical-v2</x:v>
      </x:c>
      <x:c r="B32" s="40" t="str">
        <x:v>blocked</x:v>
      </x:c>
      <x:c r="C32" s="40" t="str">
        <x:v>blocked</x:v>
      </x:c>
      <x:c r="D32" s="40" t="n">
        <x:v>6</x:v>
      </x:c>
      <x:c r="E32" s="40" t="n">
        <x:v>0</x:v>
      </x:c>
      <x:c r="F32" s="40" t="n">
        <x:v>6</x:v>
      </x:c>
      <x:c r="G32" s="40" t="str">
        <x:v>not_selected</x:v>
      </x:c>
      <x:c r="H32" s="40" t="str">
        <x:v>blocked：当前不参与候选或公开。</x:v>
      </x:c>
    </x:row>
    <x:row r="33" ht="48" customHeight="1">
      <x:c r="A33" s="40" t="str">
        <x:v>eqdir-welded-batch-chamber-v1</x:v>
      </x:c>
      <x:c r="B33" s="40" t="str">
        <x:v>pending_blocked</x:v>
      </x:c>
      <x:c r="C33" s="40" t="str">
        <x:v>internal_only</x:v>
      </x:c>
      <x:c r="D33" s="40" t="n">
        <x:v>6</x:v>
      </x:c>
      <x:c r="E33" s="40" t="n">
        <x:v>0</x:v>
      </x:c>
      <x:c r="F33" s="40" t="n">
        <x:v>6</x:v>
      </x:c>
      <x:c r="G33" s="40" t="str">
        <x:v>not_selected</x:v>
      </x:c>
      <x:c r="H33" s="40" t="str">
        <x:v>pending_blocked：当前不参与候选或公开。</x:v>
      </x:c>
    </x:row>
    <x:row r="34" ht="48" customHeight="1">
      <x:c r="A34" s="40" t="str">
        <x:v>eqdir-welded-pwht-local-v2</x:v>
      </x:c>
      <x:c r="B34" s="40" t="str">
        <x:v>eligible</x:v>
      </x:c>
      <x:c r="C34" s="40" t="str">
        <x:v>internal_only</x:v>
      </x:c>
      <x:c r="D34" s="40" t="n">
        <x:v>6</x:v>
      </x:c>
      <x:c r="E34" s="40" t="n">
        <x:v>0</x:v>
      </x:c>
      <x:c r="F34" s="40" t="n">
        <x:v>6</x:v>
      </x:c>
      <x:c r="G34" s="40" t="str">
        <x:v>not_selected</x:v>
      </x:c>
      <x:c r="H34" s="40" t="str">
        <x:v>本批未取得能直接覆盖具体工件、处理目的和设备方向的应用级证据，继续保持内部。</x:v>
      </x:c>
    </x:row>
    <x:row r="35" ht="48" customHeight="1">
      <x:c r="A35" s="40" t="str">
        <x:v>eqdir-welded-pwht-field-v2</x:v>
      </x:c>
      <x:c r="B35" s="40" t="str">
        <x:v>eligible</x:v>
      </x:c>
      <x:c r="C35" s="40" t="str">
        <x:v>internal_only</x:v>
      </x:c>
      <x:c r="D35" s="40" t="n">
        <x:v>6</x:v>
      </x:c>
      <x:c r="E35" s="40" t="n">
        <x:v>0</x:v>
      </x:c>
      <x:c r="F35" s="40" t="n">
        <x:v>6</x:v>
      </x:c>
      <x:c r="G35" s="40" t="str">
        <x:v>not_selected</x:v>
      </x:c>
      <x:c r="H35" s="40" t="str">
        <x:v>本批未取得能直接覆盖具体工件、处理目的和设备方向的应用级证据，继续保持内部。</x:v>
      </x:c>
    </x:row>
    <x:row r="36" ht="48" customHeight="1">
      <x:c r="A36" s="40" t="str">
        <x:v>eqdir-large-gear-vertical-thermal-v2</x:v>
      </x:c>
      <x:c r="B36" s="40" t="str">
        <x:v>eligible</x:v>
      </x:c>
      <x:c r="C36" s="40" t="str">
        <x:v>internal_only</x:v>
      </x:c>
      <x:c r="D36" s="40" t="n">
        <x:v>6</x:v>
      </x:c>
      <x:c r="E36" s="40" t="n">
        <x:v>0</x:v>
      </x:c>
      <x:c r="F36" s="40" t="n">
        <x:v>6</x:v>
      </x:c>
      <x:c r="G36" s="40" t="str">
        <x:v>not_selected</x:v>
      </x:c>
      <x:c r="H36" s="40" t="str">
        <x:v>本批未取得能直接覆盖具体工件、处理目的和设备方向的应用级证据，继续保持内部。</x:v>
      </x:c>
    </x:row>
    <x:row r="37" ht="48" customHeight="1">
      <x:c r="A37" s="40" t="str">
        <x:v>eqdir-large-gear-fixed-hearth-thermal-v2</x:v>
      </x:c>
      <x:c r="B37" s="40" t="str">
        <x:v>pending_blocked</x:v>
      </x:c>
      <x:c r="C37" s="40" t="str">
        <x:v>internal_only</x:v>
      </x:c>
      <x:c r="D37" s="40" t="n">
        <x:v>6</x:v>
      </x:c>
      <x:c r="E37" s="40" t="n">
        <x:v>0</x:v>
      </x:c>
      <x:c r="F37" s="40" t="n">
        <x:v>6</x:v>
      </x:c>
      <x:c r="G37" s="40" t="str">
        <x:v>not_selected</x:v>
      </x:c>
      <x:c r="H37" s="40" t="str">
        <x:v>pending_blocked：当前不参与候选或公开。</x:v>
      </x:c>
    </x:row>
    <x:row r="38" ht="48" customHeight="1">
      <x:c r="A38" s="40" t="str">
        <x:v>eqdir-large-gear-continuous-thermal-v2</x:v>
      </x:c>
      <x:c r="B38" s="40" t="str">
        <x:v>blocked</x:v>
      </x:c>
      <x:c r="C38" s="40" t="str">
        <x:v>blocked</x:v>
      </x:c>
      <x:c r="D38" s="40" t="n">
        <x:v>6</x:v>
      </x:c>
      <x:c r="E38" s="40" t="n">
        <x:v>0</x:v>
      </x:c>
      <x:c r="F38" s="40" t="n">
        <x:v>6</x:v>
      </x:c>
      <x:c r="G38" s="40" t="str">
        <x:v>not_selected</x:v>
      </x:c>
      <x:c r="H38" s="40" t="str">
        <x:v>blocked：当前不参与候选或公开。</x:v>
      </x:c>
    </x:row>
    <x:row r="39" ht="48" customHeight="1">
      <x:c r="A39" s="40" t="str">
        <x:v>eqdir-wire-coil-vertical-v1</x:v>
      </x:c>
      <x:c r="B39" s="40" t="str">
        <x:v>blocked</x:v>
      </x:c>
      <x:c r="C39" s="40" t="str">
        <x:v>blocked</x:v>
      </x:c>
      <x:c r="D39" s="40" t="n">
        <x:v>6</x:v>
      </x:c>
      <x:c r="E39" s="40" t="n">
        <x:v>0</x:v>
      </x:c>
      <x:c r="F39" s="40" t="n">
        <x:v>6</x:v>
      </x:c>
      <x:c r="G39" s="40" t="str">
        <x:v>not_selected</x:v>
      </x:c>
      <x:c r="H39" s="40" t="str">
        <x:v>blocked：当前不参与候选或公开。</x:v>
      </x:c>
    </x:row>
    <x:row r="40" ht="48" customHeight="1">
      <x:c r="A40" s="40" t="str">
        <x:v>eqdir-wire-coil-bell-v1</x:v>
      </x:c>
      <x:c r="B40" s="40" t="str">
        <x:v>eligible</x:v>
      </x:c>
      <x:c r="C40" s="40" t="str">
        <x:v>internal_only</x:v>
      </x:c>
      <x:c r="D40" s="40" t="n">
        <x:v>6</x:v>
      </x:c>
      <x:c r="E40" s="40" t="n">
        <x:v>4</x:v>
      </x:c>
      <x:c r="F40" s="40" t="n">
        <x:v>2</x:v>
      </x:c>
      <x:c r="G40" s="40" t="str">
        <x:v>partial_candidate</x:v>
      </x:c>
      <x:c r="H40" s="40" t="str">
        <x:v>部分入选；2个pair排除：去应力退火pair未被本次官方应用资料直接覆盖。</x:v>
      </x:c>
    </x:row>
    <x:row r="41" ht="48" customHeight="1">
      <x:c r="A41" s="40" t="str">
        <x:v>eqdir-undercarriage-continuous-quench-temper-v2</x:v>
      </x:c>
      <x:c r="B41" s="40" t="str">
        <x:v>blocked</x:v>
      </x:c>
      <x:c r="C41" s="40" t="str">
        <x:v>blocked</x:v>
      </x:c>
      <x:c r="D41" s="40" t="n">
        <x:v>7</x:v>
      </x:c>
      <x:c r="E41" s="40" t="n">
        <x:v>0</x:v>
      </x:c>
      <x:c r="F41" s="40" t="n">
        <x:v>7</x:v>
      </x:c>
      <x:c r="G41" s="40" t="str">
        <x:v>not_selected</x:v>
      </x:c>
      <x:c r="H41" s="40" t="str">
        <x:v>blocked：当前不参与候选或公开。</x:v>
      </x:c>
    </x:row>
    <x:row r="42" ht="48" customHeight="1">
      <x:c r="A42" s="40" t="str">
        <x:v>eqdir-undercarriage-fixed-hearth-quench-temper-v2</x:v>
      </x:c>
      <x:c r="B42" s="40" t="str">
        <x:v>pending_blocked</x:v>
      </x:c>
      <x:c r="C42" s="40" t="str">
        <x:v>internal_only</x:v>
      </x:c>
      <x:c r="D42" s="40" t="n">
        <x:v>7</x:v>
      </x:c>
      <x:c r="E42" s="40" t="n">
        <x:v>0</x:v>
      </x:c>
      <x:c r="F42" s="40" t="n">
        <x:v>7</x:v>
      </x:c>
      <x:c r="G42" s="40" t="str">
        <x:v>not_selected</x:v>
      </x:c>
      <x:c r="H42" s="40" t="str">
        <x:v>pending_blocked：当前不参与候选或公开。</x:v>
      </x:c>
    </x:row>
    <x:row r="43" ht="48" customHeight="1">
      <x:c r="A43" s="40" t="str">
        <x:v>eqdir-undercarriage-car-bottom-quench-temper-v2</x:v>
      </x:c>
      <x:c r="B43" s="40" t="str">
        <x:v>blocked</x:v>
      </x:c>
      <x:c r="C43" s="40" t="str">
        <x:v>blocked</x:v>
      </x:c>
      <x:c r="D43" s="40" t="n">
        <x:v>7</x:v>
      </x:c>
      <x:c r="E43" s="40" t="n">
        <x:v>0</x:v>
      </x:c>
      <x:c r="F43" s="40" t="n">
        <x:v>7</x:v>
      </x:c>
      <x:c r="G43" s="40" t="str">
        <x:v>not_selected</x:v>
      </x:c>
      <x:c r="H43" s="40" t="str">
        <x:v>blocked：当前不参与候选或公开。</x:v>
      </x:c>
    </x:row>
    <x:row r="44" ht="48" customHeight="1">
      <x:c r="A44" s="40" t="str">
        <x:v>eqdir-shaft-vertical-thermal-v2</x:v>
      </x:c>
      <x:c r="B44" s="40" t="str">
        <x:v>eligible</x:v>
      </x:c>
      <x:c r="C44" s="40" t="str">
        <x:v>internal_only</x:v>
      </x:c>
      <x:c r="D44" s="40" t="n">
        <x:v>8</x:v>
      </x:c>
      <x:c r="E44" s="40" t="n">
        <x:v>0</x:v>
      </x:c>
      <x:c r="F44" s="40" t="n">
        <x:v>8</x:v>
      </x:c>
      <x:c r="G44" s="40" t="str">
        <x:v>not_selected</x:v>
      </x:c>
      <x:c r="H44" s="40" t="str">
        <x:v>本批未取得能直接覆盖具体工件、处理目的和设备方向的应用级证据，继续保持内部。</x:v>
      </x:c>
    </x:row>
    <x:row r="45" ht="48" customHeight="1">
      <x:c r="A45" s="40" t="str">
        <x:v>eqdir-shaft-fixed-hearth-thermal-v2</x:v>
      </x:c>
      <x:c r="B45" s="40" t="str">
        <x:v>pending_blocked</x:v>
      </x:c>
      <x:c r="C45" s="40" t="str">
        <x:v>internal_only</x:v>
      </x:c>
      <x:c r="D45" s="40" t="n">
        <x:v>8</x:v>
      </x:c>
      <x:c r="E45" s="40" t="n">
        <x:v>0</x:v>
      </x:c>
      <x:c r="F45" s="40" t="n">
        <x:v>8</x:v>
      </x:c>
      <x:c r="G45" s="40" t="str">
        <x:v>not_selected</x:v>
      </x:c>
      <x:c r="H45" s="40" t="str">
        <x:v>pending_blocked：当前不参与候选或公开。</x:v>
      </x:c>
    </x:row>
    <x:row r="46" ht="48" customHeight="1">
      <x:c r="A46" s="40" t="str">
        <x:v>eqdir-shaft-continuous-thermal-v2</x:v>
      </x:c>
      <x:c r="B46" s="40" t="str">
        <x:v>eligible</x:v>
      </x:c>
      <x:c r="C46" s="40" t="str">
        <x:v>internal_only</x:v>
      </x:c>
      <x:c r="D46" s="40" t="n">
        <x:v>8</x:v>
      </x:c>
      <x:c r="E46" s="40" t="n">
        <x:v>0</x:v>
      </x:c>
      <x:c r="F46" s="40" t="n">
        <x:v>8</x:v>
      </x:c>
      <x:c r="G46" s="40" t="str">
        <x:v>not_selected</x:v>
      </x:c>
      <x:c r="H46" s="40" t="str">
        <x:v>本批未取得能直接覆盖具体工件、处理目的和设备方向的应用级证据，继续保持内部。</x:v>
      </x:c>
    </x:row>
    <x:row r="47" ht="48" customHeight="1">
      <x:c r="A47" s="40" t="str">
        <x:v>eqdir-long-products-roller-thermal-v2</x:v>
      </x:c>
      <x:c r="B47" s="40" t="str">
        <x:v>eligible</x:v>
      </x:c>
      <x:c r="C47" s="40" t="str">
        <x:v>internal_only</x:v>
      </x:c>
      <x:c r="D47" s="40" t="n">
        <x:v>8</x:v>
      </x:c>
      <x:c r="E47" s="40" t="n">
        <x:v>6</x:v>
      </x:c>
      <x:c r="F47" s="40" t="n">
        <x:v>2</x:v>
      </x:c>
      <x:c r="G47" s="40" t="str">
        <x:v>partial_candidate</x:v>
      </x:c>
      <x:c r="H47" s="40" t="str">
        <x:v>部分入选；2个pair排除：型钢pair没有被本次官方应用资料直接覆盖，继续内部使用。</x:v>
      </x:c>
    </x:row>
    <x:row r="48" ht="48" customHeight="1">
      <x:c r="A48" s="40" t="str">
        <x:v>eqdir-long-products-fixed-hearth-thermal-v2</x:v>
      </x:c>
      <x:c r="B48" s="40" t="str">
        <x:v>pending_blocked</x:v>
      </x:c>
      <x:c r="C48" s="40" t="str">
        <x:v>internal_only</x:v>
      </x:c>
      <x:c r="D48" s="40" t="n">
        <x:v>8</x:v>
      </x:c>
      <x:c r="E48" s="40" t="n">
        <x:v>0</x:v>
      </x:c>
      <x:c r="F48" s="40" t="n">
        <x:v>8</x:v>
      </x:c>
      <x:c r="G48" s="40" t="str">
        <x:v>not_selected</x:v>
      </x:c>
      <x:c r="H48" s="40" t="str">
        <x:v>pending_blocked：当前不参与候选或公开。</x:v>
      </x:c>
    </x:row>
    <x:row r="49" ht="48" customHeight="1">
      <x:c r="A49" s="40" t="str">
        <x:v>eqdir-long-products-vertical-thermal-v2</x:v>
      </x:c>
      <x:c r="B49" s="40" t="str">
        <x:v>blocked</x:v>
      </x:c>
      <x:c r="C49" s="40" t="str">
        <x:v>blocked</x:v>
      </x:c>
      <x:c r="D49" s="40" t="n">
        <x:v>8</x:v>
      </x:c>
      <x:c r="E49" s="40" t="n">
        <x:v>0</x:v>
      </x:c>
      <x:c r="F49" s="40" t="n">
        <x:v>8</x:v>
      </x:c>
      <x:c r="G49" s="40" t="str">
        <x:v>not_selected</x:v>
      </x:c>
      <x:c r="H49" s="40" t="str">
        <x:v>blocked：当前不参与候选或公开。</x:v>
      </x:c>
    </x:row>
    <x:row r="50" ht="48" customHeight="1">
      <x:c r="A50" s="40" t="str">
        <x:v>eqdir-heavy-car-bottom-v1</x:v>
      </x:c>
      <x:c r="B50" s="40" t="str">
        <x:v>eligible</x:v>
      </x:c>
      <x:c r="C50" s="40" t="str">
        <x:v>internal_only</x:v>
      </x:c>
      <x:c r="D50" s="40" t="n">
        <x:v>12</x:v>
      </x:c>
      <x:c r="E50" s="40" t="n">
        <x:v>9</x:v>
      </x:c>
      <x:c r="F50" s="40" t="n">
        <x:v>3</x:v>
      </x:c>
      <x:c r="G50" s="40" t="str">
        <x:v>partial_candidate</x:v>
      </x:c>
      <x:c r="H50" s="40" t="str">
        <x:v>部分入选；3个pair排除：大型模块锻件属于本批明确排除的模具专项。</x:v>
      </x:c>
    </x:row>
    <x:row r="51" ht="48" customHeight="1">
      <x:c r="A51" s="40" t="str">
        <x:v>eqdir-heavy-hydrogen-relief-car-bottom-v2</x:v>
      </x:c>
      <x:c r="B51" s="40" t="str">
        <x:v>eligible</x:v>
      </x:c>
      <x:c r="C51" s="40" t="str">
        <x:v>internal_only</x:v>
      </x:c>
      <x:c r="D51" s="40" t="n">
        <x:v>2</x:v>
      </x:c>
      <x:c r="E51" s="40" t="n">
        <x:v>0</x:v>
      </x:c>
      <x:c r="F51" s="40" t="n">
        <x:v>2</x:v>
      </x:c>
      <x:c r="G51" s="40" t="str">
        <x:v>not_selected</x:v>
      </x:c>
      <x:c r="H51" s="40" t="str">
        <x:v>其中1个pair属本批明确排除范围；其余pair仍缺少能直接覆盖具体工件、处理目的和设备方向的应用级证据。</x:v>
      </x:c>
    </x:row>
    <x:row r="52" ht="48" customHeight="1">
      <x:c r="A52" s="40" t="str">
        <x:v>eqdir-heavy-ductile-iron-car-bottom-v2</x:v>
      </x:c>
      <x:c r="B52" s="40" t="str">
        <x:v>eligible</x:v>
      </x:c>
      <x:c r="C52" s="40" t="str">
        <x:v>internal_only</x:v>
      </x:c>
      <x:c r="D52" s="40" t="n">
        <x:v>2</x:v>
      </x:c>
      <x:c r="E52" s="40" t="n">
        <x:v>0</x:v>
      </x:c>
      <x:c r="F52" s="40" t="n">
        <x:v>2</x:v>
      </x:c>
      <x:c r="G52" s="40" t="str">
        <x:v>not_selected</x:v>
      </x:c>
      <x:c r="H52" s="40" t="str">
        <x:v>本批未取得能直接覆盖具体工件、处理目的和设备方向的应用级证据，继续保持内部。</x:v>
      </x:c>
    </x:row>
    <x:row r="53" ht="48" customHeight="1">
      <x:c r="A53" s="40" t="str">
        <x:v>eqdir-heavy-normalize-temper-car-bottom-v2</x:v>
      </x:c>
      <x:c r="B53" s="40" t="str">
        <x:v>blocked</x:v>
      </x:c>
      <x:c r="C53" s="40" t="str">
        <x:v>blocked</x:v>
      </x:c>
      <x:c r="D53" s="40" t="n">
        <x:v>4</x:v>
      </x:c>
      <x:c r="E53" s="40" t="n">
        <x:v>0</x:v>
      </x:c>
      <x:c r="F53" s="40" t="n">
        <x:v>4</x:v>
      </x:c>
      <x:c r="G53" s="40" t="str">
        <x:v>not_selected</x:v>
      </x:c>
      <x:c r="H53" s="40" t="str">
        <x:v>blocked：当前不参与候选或公开。</x:v>
      </x:c>
    </x:row>
    <x:row r="54" ht="48" customHeight="1">
      <x:c r="A54" s="40" t="str">
        <x:v>eqdir-undercarriage-continuous-thermal-v2</x:v>
      </x:c>
      <x:c r="B54" s="40" t="str">
        <x:v>eligible</x:v>
      </x:c>
      <x:c r="C54" s="40" t="str">
        <x:v>internal_only</x:v>
      </x:c>
      <x:c r="D54" s="40" t="n">
        <x:v>12</x:v>
      </x:c>
      <x:c r="E54" s="40" t="n">
        <x:v>0</x:v>
      </x:c>
      <x:c r="F54" s="40" t="n">
        <x:v>12</x:v>
      </x:c>
      <x:c r="G54" s="40" t="str">
        <x:v>not_selected</x:v>
      </x:c>
      <x:c r="H54" s="40" t="str">
        <x:v>本批未取得能直接覆盖具体工件、处理目的和设备方向的应用级证据，继续保持内部。</x:v>
      </x:c>
    </x:row>
    <x:row r="55" ht="48" customHeight="1">
      <x:c r="A55" s="40" t="str">
        <x:v>eqdir-undercarriage-fixed-hearth-thermal-v2</x:v>
      </x:c>
      <x:c r="B55" s="40" t="str">
        <x:v>pending_blocked</x:v>
      </x:c>
      <x:c r="C55" s="40" t="str">
        <x:v>internal_only</x:v>
      </x:c>
      <x:c r="D55" s="40" t="n">
        <x:v>12</x:v>
      </x:c>
      <x:c r="E55" s="40" t="n">
        <x:v>0</x:v>
      </x:c>
      <x:c r="F55" s="40" t="n">
        <x:v>12</x:v>
      </x:c>
      <x:c r="G55" s="40" t="str">
        <x:v>not_selected</x:v>
      </x:c>
      <x:c r="H55" s="40" t="str">
        <x:v>pending_blocked：当前不参与候选或公开。</x:v>
      </x:c>
    </x:row>
    <x:row r="56" ht="48" customHeight="1">
      <x:c r="A56" s="40" t="str">
        <x:v>eqdir-undercarriage-car-bottom-thermal-v2</x:v>
      </x:c>
      <x:c r="B56" s="40" t="str">
        <x:v>blocked</x:v>
      </x:c>
      <x:c r="C56" s="40" t="str">
        <x:v>blocked</x:v>
      </x:c>
      <x:c r="D56" s="40" t="n">
        <x:v>12</x:v>
      </x:c>
      <x:c r="E56" s="40" t="n">
        <x:v>0</x:v>
      </x:c>
      <x:c r="F56" s="40" t="n">
        <x:v>12</x:v>
      </x:c>
      <x:c r="G56" s="40" t="str">
        <x:v>not_selected</x:v>
      </x:c>
      <x:c r="H56" s="40" t="str">
        <x:v>blocked：当前不参与候选或公开。</x:v>
      </x:c>
    </x:row>
    <x:row r="57" ht="48" customHeight="1">
      <x:c r="A57" s="40" t="str">
        <x:v>eqdir-carburizing-continuous-v1</x:v>
      </x:c>
      <x:c r="B57" s="40" t="str">
        <x:v>pending_blocked</x:v>
      </x:c>
      <x:c r="C57" s="40" t="str">
        <x:v>internal_only</x:v>
      </x:c>
      <x:c r="D57" s="40" t="n">
        <x:v>13</x:v>
      </x:c>
      <x:c r="E57" s="40" t="n">
        <x:v>0</x:v>
      </x:c>
      <x:c r="F57" s="40" t="n">
        <x:v>13</x:v>
      </x:c>
      <x:c r="G57" s="40" t="str">
        <x:v>not_selected</x:v>
      </x:c>
      <x:c r="H57" s="40" t="str">
        <x:v>pending_blocked：当前不参与候选或公开。</x:v>
      </x:c>
    </x:row>
    <x:row r="58" ht="48" customHeight="1">
      <x:c r="A58" s="40" t="str">
        <x:v>eqdir-carburizing-batch-v1</x:v>
      </x:c>
      <x:c r="B58" s="40" t="str">
        <x:v>pending_blocked</x:v>
      </x:c>
      <x:c r="C58" s="40" t="str">
        <x:v>internal_only</x:v>
      </x:c>
      <x:c r="D58" s="40" t="n">
        <x:v>13</x:v>
      </x:c>
      <x:c r="E58" s="40" t="n">
        <x:v>0</x:v>
      </x:c>
      <x:c r="F58" s="40" t="n">
        <x:v>13</x:v>
      </x:c>
      <x:c r="G58" s="40" t="str">
        <x:v>not_selected</x:v>
      </x:c>
      <x:c r="H58" s="40" t="str">
        <x:v>pending_blocked：当前不参与候选或公开。</x:v>
      </x:c>
    </x:row>
    <x:row r="59" ht="48" customHeight="1">
      <x:c r="A59" s="40" t="str">
        <x:v>eqdir-heavy-vertical-v1</x:v>
      </x:c>
      <x:c r="B59" s="40" t="str">
        <x:v>blocked</x:v>
      </x:c>
      <x:c r="C59" s="40" t="str">
        <x:v>blocked</x:v>
      </x:c>
      <x:c r="D59" s="40" t="n">
        <x:v>20</x:v>
      </x:c>
      <x:c r="E59" s="40" t="n">
        <x:v>0</x:v>
      </x:c>
      <x:c r="F59" s="40" t="n">
        <x:v>20</x:v>
      </x:c>
      <x:c r="G59" s="40" t="str">
        <x:v>not_selected</x:v>
      </x:c>
      <x:c r="H59" s="40" t="str">
        <x:v>blocked：当前不参与候选或公开。</x:v>
      </x:c>
    </x:row>
    <x:row r="60" ht="48" customHeight="1">
      <x:c r="A60" s="40" t="str">
        <x:v>eqdir-heavy-batch-chamber-v1</x:v>
      </x:c>
      <x:c r="B60" s="40" t="str">
        <x:v>pending_blocked</x:v>
      </x:c>
      <x:c r="C60" s="40" t="str">
        <x:v>internal_only</x:v>
      </x:c>
      <x:c r="D60" s="40" t="n">
        <x:v>20</x:v>
      </x:c>
      <x:c r="E60" s="40" t="n">
        <x:v>0</x:v>
      </x:c>
      <x:c r="F60" s="40" t="n">
        <x:v>20</x:v>
      </x:c>
      <x:c r="G60" s="40" t="str">
        <x:v>not_selected</x:v>
      </x:c>
      <x:c r="H60" s="40" t="str">
        <x:v>pending_blocked：当前不参与候选或公开。</x:v>
      </x:c>
    </x:row>
  </x:sheetData>
  <x:mergeCells>
    <x:mergeCell ref="A1:H1"/>
    <x:mergeCell ref="A2:H2"/>
  </x:mergeCells>
  <x:conditionalFormatting sqref="G5:G60">
    <x:cfRule type="containsText" dxfId="0" priority="1" operator="containsText" text="candidate"/>
  </x:conditionalFormatting>
  <x:conditionalFormatting sqref="B5:B60">
    <x:cfRule type="containsText" dxfId="1" priority="2" operator="containsText" text="blocked"/>
  </x:conditionalFormatting>
  <x:pageMargins left="0.7" right="0.7" top="0.75" bottom="0.75" header="0.3" footer="0.3"/>
  <x:tableParts count="1">
    <x:tablePart xmlns:r="http://schemas.openxmlformats.org/officeDocument/2006/relationships" r:id="R17f2af999ae6414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780000686645508" hidden="0" customWidth="1"/>
    <x:col min="2" max="2" width="14.4399995803833" hidden="0" customWidth="1"/>
    <x:col min="3" max="3" width="20" hidden="0" customWidth="1"/>
    <x:col min="4" max="4" width="33.33000183105469" hidden="0" customWidth="1"/>
    <x:col min="5" max="5" width="16.110000610351562" hidden="0" customWidth="1"/>
    <x:col min="6" max="6" width="9.4399995803833" hidden="0" customWidth="1"/>
    <x:col min="7" max="7" width="11.109999656677246" hidden="0" customWidth="1"/>
    <x:col min="8" max="8" width="16.670000076293945" hidden="0" customWidth="1"/>
    <x:col min="9" max="9" width="46.66999816894531" hidden="0" customWidth="1"/>
    <x:col min="10" max="10" width="42.220001220703125" hidden="0" customWidth="1"/>
    <x:col min="11" max="11" width="47.779998779296875" hidden="0" customWidth="1"/>
    <x:col min="12" max="12" width="11.109999656677246" hidden="0" customWidth="1"/>
  </x:cols>
  <x:sheetData>
    <x:row r="1" ht="28.5" customHeight="1">
      <x:c r="A1" s="3" t="str">
        <x:v>首版候选证据快照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1.5" customHeight="1">
      <x:c r="A2" s="7" t="str">
        <x:v>分类资料只支持通用分类；每个pair另需一条官方应用对应资料。所有资料都不支持苏能能力承诺或未核实数值。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25.5" customHeight="1">
      <x:c r="A4" s="39" t="str">
        <x:v>evidenceId</x:v>
      </x:c>
      <x:c r="B4" s="39" t="str">
        <x:v>证据类型</x:v>
      </x:c>
      <x:c r="C4" s="39" t="str">
        <x:v>发布机构</x:v>
      </x:c>
      <x:c r="D4" s="39" t="str">
        <x:v>标题</x:v>
      </x:c>
      <x:c r="E4" s="39" t="str">
        <x:v>版本</x:v>
      </x:c>
      <x:c r="F4" s="39" t="str">
        <x:v>状态</x:v>
      </x:c>
      <x:c r="G4" s="39" t="str">
        <x:v>访问级别</x:v>
      </x:c>
      <x:c r="H4" s="39" t="str">
        <x:v>核验状态</x:v>
      </x:c>
      <x:c r="I4" s="39" t="str">
        <x:v>官方链接</x:v>
      </x:c>
      <x:c r="J4" s="39" t="str">
        <x:v>直接支持范围</x:v>
      </x:c>
      <x:c r="K4" s="39" t="str">
        <x:v>适用边界</x:v>
      </x:c>
      <x:c r="L4" s="39" t="str">
        <x:v>核验日期</x:v>
      </x:c>
    </x:row>
    <x:row r="5" ht="78.75" customHeight="1">
      <x:c r="A5" s="40" t="str">
        <x:v>tech-us-doe-process-heating-sourcebook3-2015</x:v>
      </x:c>
      <x:c r="B5" s="40" t="str">
        <x:v>taxonomy_reference</x:v>
      </x:c>
      <x:c r="C5" s="40" t="str">
        <x:v>U.S. Department of Energy</x:v>
      </x:c>
      <x:c r="D5" s="40" t="str">
        <x:v>Improving Process Heating System Performance: A Sourcebook for Industry</x:v>
      </x:c>
      <x:c r="E5" s="40" t="str">
        <x:v>Third Edition, 2015</x:v>
      </x:c>
      <x:c r="F5" s="42" t="str">
        <x:v>current</x:v>
      </x:c>
      <x:c r="G5" s="42" t="str">
        <x:v>full_text</x:v>
      </x:c>
      <x:c r="H5" s="42" t="str">
        <x:v>full_text_verified</x:v>
      </x:c>
      <x:c r="I5" s="40" t="str">
        <x:v>https://www.energy.gov/sites/prod/files/2016/04/f30/Improving%20Process%20Heating%20System%20Performance%20A%20Sourcebook%20for%20Industry%20Third%20Edition_0.pdf</x:v>
      </x:c>
      <x:c r="J5" s="40" t="str">
        <x:v>批次式与连续式运行方式的通用定义
输送带、辊道、台车、带材连续、立式装料和 bell top 等物料输送或设备结构的通用分类
设备方向可与已知工件条件和确定性工程规则结合推导，但不直接支持具体工件路线</x:v>
      </x:c>
      <x:c r="K5" s="40" t="str">
        <x:v>普通工业过程加热设备的批次与连续运行方式、物料输送方式和设备结构分类；只支持通用分类及定性约束，不直接证明某一具体工件必须采用某种设备，也不支持客户项目的温度、时间、载荷或尺寸数值。</x:v>
      </x:c>
      <x:c r="L5" s="40" t="str">
        <x:v>2026-08-27</x:v>
      </x:c>
    </x:row>
    <x:row r="6" ht="78.75" customHeight="1">
      <x:c r="A6" s="40" t="str">
        <x:v>candidate-appmap-heavy-car-bottom</x:v>
      </x:c>
      <x:c r="B6" s="40" t="str">
        <x:v>application_mapping</x:v>
      </x:c>
      <x:c r="C6" s="40" t="str">
        <x:v>Surface Combustion</x:v>
      </x:c>
      <x:c r="D6" s="40" t="str">
        <x:v>Lift Cover, Tilt Top &amp; Carbottom Furnaces</x:v>
      </x:c>
      <x:c r="E6" s="40" t="str">
        <x:v>官网当前页面（2026-08-27核验）</x:v>
      </x:c>
      <x:c r="F6" s="42" t="str">
        <x:v>current</x:v>
      </x:c>
      <x:c r="G6" s="42" t="str">
        <x:v>full_text</x:v>
      </x:c>
      <x:c r="H6" s="42" t="str">
        <x:v>full_text_verified</x:v>
      </x:c>
      <x:c r="I6" s="40" t="str">
        <x:v>https://www.surfacecombustion.com/product/lift-cover-tilt-top-carbottom-furnaces/</x:v>
      </x:c>
      <x:c r="J6" s="40" t="str">
        <x:v>台车式批次设备对大型、重载工件的移动炉床承载分类
铸件、锻件和轴类的退火、正火、单独回火应用映射</x:v>
      </x:c>
      <x:c r="K6" s="40" t="str">
        <x:v>仅用于大型钢铸件和锻件在批次、移动炉床承载工况下的行业应用映射；不支持苏能制造能力、装载上限、炉温或时间数值。</x:v>
      </x:c>
      <x:c r="L6" s="40" t="str">
        <x:v>2026-08-27</x:v>
      </x:c>
    </x:row>
    <x:row r="7" ht="78.75" customHeight="1">
      <x:c r="A7" s="40" t="str">
        <x:v>candidate-appmap-wear-plate-quench-temper</x:v>
      </x:c>
      <x:c r="B7" s="40" t="str">
        <x:v>application_mapping</x:v>
      </x:c>
      <x:c r="C7" s="40" t="str">
        <x:v>Tenova LOI Thermprocess</x:v>
      </x:c>
      <x:c r="D7" s="40" t="str">
        <x:v>LOI Thermprocess Image Brochure - Plate Heat Treatment</x:v>
      </x:c>
      <x:c r="E7" s="40" t="str">
        <x:v>2024</x:v>
      </x:c>
      <x:c r="F7" s="42" t="str">
        <x:v>current</x:v>
      </x:c>
      <x:c r="G7" s="42" t="str">
        <x:v>full_text</x:v>
      </x:c>
      <x:c r="H7" s="42" t="str">
        <x:v>full_text_verified</x:v>
      </x:c>
      <x:c r="I7" s="40" t="str">
        <x:v>https://loi.tenova.com/sites/default/files/files/files_to_zip/2024/LOI_Image_Brochure_EN.pdf</x:v>
      </x:c>
      <x:c r="J7" s="40" t="str">
        <x:v>耐磨钢厚板与连续调质热处理线的应用映射
奥氏体化、淬火和回火的完整工艺链边界</x:v>
      </x:c>
      <x:c r="K7" s="40" t="str">
        <x:v>仅用于耐磨钢厚板的连续调质系统方向；不支持淬火介质、冷却速率、温度、节拍或苏能能力数值。</x:v>
      </x:c>
      <x:c r="L7" s="40" t="str">
        <x:v>2026-08-27</x:v>
      </x:c>
    </x:row>
    <x:row r="8" ht="78.75" customHeight="1">
      <x:c r="A8" s="40" t="str">
        <x:v>candidate-appmap-carbon-steel-coil-bell</x:v>
      </x:c>
      <x:c r="B8" s="40" t="str">
        <x:v>application_mapping</x:v>
      </x:c>
      <x:c r="C8" s="40" t="str">
        <x:v>EBNER Industrieofenbau</x:v>
      </x:c>
      <x:c r="D8" s="40" t="str">
        <x:v>Bell annealer for steel strip coils</x:v>
      </x:c>
      <x:c r="E8" s="40" t="str">
        <x:v>官网当前页面（2026-08-27核验）</x:v>
      </x:c>
      <x:c r="F8" s="42" t="str">
        <x:v>current</x:v>
      </x:c>
      <x:c r="G8" s="42" t="str">
        <x:v>full_text</x:v>
      </x:c>
      <x:c r="H8" s="42" t="str">
        <x:v>full_text_verified</x:v>
      </x:c>
      <x:c r="I8" s="40" t="str">
        <x:v>https://www.ebner.cc/en/bell-annealer-steel-strip-en</x:v>
      </x:c>
      <x:c r="J8" s="40" t="str">
        <x:v>碳钢带卷成卷批次退火与罩式退火设备的应用映射</x:v>
      </x:c>
      <x:c r="K8" s="40" t="str">
        <x:v>仅用于碳钢带卷成卷退火；不自动延伸到铝卷、展开连续处理、特定气氛数值或苏能能力。</x:v>
      </x:c>
      <x:c r="L8" s="40" t="str">
        <x:v>2026-08-27</x:v>
      </x:c>
    </x:row>
    <x:row r="9" ht="78.75" customHeight="1">
      <x:c r="A9" s="40" t="str">
        <x:v>candidate-appmap-long-products-roller-thermal</x:v>
      </x:c>
      <x:c r="B9" s="40" t="str">
        <x:v>application_mapping</x:v>
      </x:c>
      <x:c r="C9" s="40" t="str">
        <x:v>Tenova LOI Thermprocess</x:v>
      </x:c>
      <x:c r="D9" s="40" t="str">
        <x:v>Roller Hearth Furnace for Pipe &amp; Tube</x:v>
      </x:c>
      <x:c r="E9" s="40" t="str">
        <x:v>官网当前页面（2026-08-27核验）</x:v>
      </x:c>
      <x:c r="F9" s="42" t="str">
        <x:v>current</x:v>
      </x:c>
      <x:c r="G9" s="42" t="str">
        <x:v>full_text</x:v>
      </x:c>
      <x:c r="H9" s="42" t="str">
        <x:v>full_text_verified</x:v>
      </x:c>
      <x:c r="I9" s="40" t="str">
        <x:v>https://tenova.com/technologies/roller-hearth-furnace-pipe-tube</x:v>
      </x:c>
      <x:c r="J9" s="40" t="str">
        <x:v>无缝钢管、焊接钢管和圆钢棒的连续辊底式退火或正火应用映射</x:v>
      </x:c>
      <x:c r="K9" s="40" t="str">
        <x:v>仅用于整管或整棒的连续退火/正火；不自动延伸到型钢、调质整线、线速度或苏能能力。</x:v>
      </x:c>
      <x:c r="L9" s="40" t="str">
        <x:v>2026-08-27</x:v>
      </x:c>
    </x:row>
    <x:row r="10" ht="78.75" customHeight="1">
      <x:c r="A10" s="40" t="str">
        <x:v>candidate-appmap-wire-coil-bell</x:v>
      </x:c>
      <x:c r="B10" s="40" t="str">
        <x:v>application_mapping</x:v>
      </x:c>
      <x:c r="C10" s="40" t="str">
        <x:v>EBNER Industrieofenbau</x:v>
      </x:c>
      <x:c r="D10" s="40" t="str">
        <x:v>Bell annealer for steel wire coils</x:v>
      </x:c>
      <x:c r="E10" s="40" t="str">
        <x:v>官网当前页面（2026-08-27核验）</x:v>
      </x:c>
      <x:c r="F10" s="42" t="str">
        <x:v>current</x:v>
      </x:c>
      <x:c r="G10" s="42" t="str">
        <x:v>full_text</x:v>
      </x:c>
      <x:c r="H10" s="42" t="str">
        <x:v>full_text_verified</x:v>
      </x:c>
      <x:c r="I10" s="40" t="str">
        <x:v>https://www.ebner.cc/en/bell-annealer-for-steel-wire-en</x:v>
      </x:c>
      <x:c r="J10" s="40" t="str">
        <x:v>盘条卷或钢丝卷的罩式球化退火和再结晶退火应用映射</x:v>
      </x:c>
      <x:c r="K10" s="40" t="str">
        <x:v>仅用于成卷钢丝或盘条的球化/再结晶退火；不包括该规则中尚无直接资料支持的去应力退火pair。</x:v>
      </x:c>
      <x:c r="L10" s="40" t="str">
        <x:v>2026-08-27</x:v>
      </x:c>
    </x:row>
    <x:row r="11" ht="78.75" customHeight="1">
      <x:c r="A11" s="40" t="str">
        <x:v>candidate-appmap-fastener-mesh-quench-temper</x:v>
      </x:c>
      <x:c r="B11" s="40" t="str">
        <x:v>application_mapping</x:v>
      </x:c>
      <x:c r="C11" s="40" t="str">
        <x:v>AFC-Holcroft</x:v>
      </x:c>
      <x:c r="D11" s="40" t="str">
        <x:v>Mesh Belt Continuous Furnace</x:v>
      </x:c>
      <x:c r="E11" s="40" t="str">
        <x:v>官网当前页面（2026-08-27核验）</x:v>
      </x:c>
      <x:c r="F11" s="42" t="str">
        <x:v>current</x:v>
      </x:c>
      <x:c r="G11" s="42" t="str">
        <x:v>full_text</x:v>
      </x:c>
      <x:c r="H11" s="42" t="str">
        <x:v>full_text_verified</x:v>
      </x:c>
      <x:c r="I11" s="40" t="str">
        <x:v>https://www.afc-holcroft.com/systems-and-components/mesh-belt-continuous-furnace/</x:v>
      </x:c>
      <x:c r="J11" s="40" t="str">
        <x:v>高强螺栓和六角螺母等紧固件的连续网带式调质整线应用映射</x:v>
      </x:c>
      <x:c r="K11" s="40" t="str">
        <x:v>仅用于形状和装料适合网带连续处理的螺栓和螺母调质；不自动延伸到未明确类型的销件或链条零件。</x:v>
      </x:c>
      <x:c r="L11" s="40" t="str">
        <x:v>2026-08-27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31bf40b50a7b40f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22.219999313354492" hidden="0" customWidth="1"/>
    <x:col min="3" max="3" width="17.780000686645508" hidden="0" customWidth="1"/>
    <x:col min="4" max="4" width="84.44000244140625" hidden="0" customWidth="1"/>
    <x:col min="5" max="5" width="38.88999938964844" hidden="0" customWidth="1"/>
    <x:col min="6" max="6" width="38.88999938964844" hidden="0" customWidth="1"/>
  </x:cols>
  <x:sheetData>
    <x:row r="1" ht="28.5" customHeight="1">
      <x:c r="A1" s="3" t="str">
        <x:v>负责人实际看到的完整公开文案</x:v>
      </x:c>
      <x:c r="B1" s="3"/>
      <x:c r="C1" s="3"/>
      <x:c r="D1" s="3"/>
      <x:c r="E1" s="3"/>
      <x:c r="F1" s="3"/>
    </x:row>
    <x:row r="2" ht="31.5" customHeight="1">
      <x:c r="A2" s="7" t="str">
        <x:v>三种状态文案均完整展开，不以哈希代替内容审阅；候选包未批准时仅可用测试fixture预览。</x:v>
      </x:c>
      <x:c r="B2" s="7"/>
      <x:c r="C2" s="7"/>
      <x:c r="D2" s="7"/>
      <x:c r="E2" s="7"/>
      <x:c r="F2" s="7"/>
    </x:row>
    <x:row r="4" ht="25.5" customHeight="1">
      <x:c r="A4" s="39" t="str">
        <x:v>ruleId</x:v>
      </x:c>
      <x:c r="B4" s="39" t="str">
        <x:v>设备方向</x:v>
      </x:c>
      <x:c r="C4" s="39" t="str">
        <x:v>显示状态</x:v>
      </x:c>
      <x:c r="D4" s="39" t="str">
        <x:v>客户完整文案</x:v>
      </x:c>
      <x:c r="E4" s="39" t="str">
        <x:v>客户提示</x:v>
      </x:c>
      <x:c r="F4" s="39" t="str">
        <x:v>公开边界</x:v>
      </x:c>
    </x:row>
    <x:row r="5" ht="78.75" customHeight="1">
      <x:c r="A5" s="40" t="str">
        <x:v>eqdir-heavy-car-bottom-v1</x:v>
      </x:c>
      <x:c r="B5" s="40" t="str">
        <x:v>台车式周期炉</x:v>
      </x:c>
      <x:c r="C5" s="40" t="str">
        <x:v>conditional_preview</x:v>
      </x:c>
      <x:c r="D5" s="40" t="str">
        <x:v>如果工件和工艺符合本路线，且大型钢铸件或锻件；整件退火、正火或单独回火；批次生产；移动炉床承载；装载外形、重量、重心、支撑和上下料路径均经服务端确认兼容，行业常见设备方向可考虑“台车式周期炉”。仍需工程复核，不构成最终选型或苏能供货承诺。</x:v>
      </x:c>
      <x:c r="E5" s="40" t="str">
        <x:v>需继续确认：材质和牌号、有效装载空间、单件与工装重量、重心、支撑跨距、上下料路径。</x:v>
      </x:c>
      <x:c r="F5" s="40" t="str">
        <x:v>不链接产品页；不表达苏能能力、最终选型或必须采用</x:v>
      </x:c>
    </x:row>
    <x:row r="6" ht="78.75" customHeight="1">
      <x:c r="A6" s="40" t="str">
        <x:v>eqdir-heavy-car-bottom-v1</x:v>
      </x:c>
      <x:c r="B6" s="40" t="str">
        <x:v>台车式周期炉</x:v>
      </x:c>
      <x:c r="C6" s="40" t="str">
        <x:v>matched_direction</x:v>
      </x:c>
      <x:c r="D6" s="40" t="str">
        <x:v>根据已确认的工件、处理目的和工程兼容性条件，行业常见设备方向为“台车式周期炉”。仍需确认：材质和牌号、有效装载空间、单件与工装重量、重心、支撑跨距、上下料路径。该结果不代表苏能已确认可提供，也不是最终选型。</x:v>
      </x:c>
      <x:c r="E6" s="40" t="str">
        <x:v>需继续确认：材质和牌号、有效装载空间、单件与工装重量、重心、支撑跨距、上下料路径。</x:v>
      </x:c>
      <x:c r="F6" s="40" t="str">
        <x:v>不链接产品页；不表达苏能能力、最终选型或必须采用</x:v>
      </x:c>
    </x:row>
    <x:row r="7" ht="78.75" customHeight="1">
      <x:c r="A7" s="40" t="str">
        <x:v>eqdir-heavy-car-bottom-v1</x:v>
      </x:c>
      <x:c r="B7" s="40" t="str">
        <x:v>台车式周期炉</x:v>
      </x:c>
      <x:c r="C7" s="40" t="str">
        <x:v>engineering_review</x:v>
      </x:c>
      <x:c r="D7" s="40" t="str">
        <x:v>当前输入存在不兼容项，或装载、支撑、上下料、工艺链仍有关键条件待复核，暂不形成设备方向。请补充或复核：材质和牌号、有效装载空间、单件与工装重量、重心、支撑跨距、上下料路径。</x:v>
      </x:c>
      <x:c r="E7" s="40" t="str">
        <x:v>需继续确认：材质和牌号、有效装载空间、单件与工装重量、重心、支撑跨距、上下料路径。</x:v>
      </x:c>
      <x:c r="F7" s="40" t="str">
        <x:v>不链接产品页；不表达苏能能力、最终选型或必须采用</x:v>
      </x:c>
    </x:row>
    <x:row r="8" ht="78.75" customHeight="1">
      <x:c r="A8" s="40" t="str">
        <x:v>eqdir-wear-plate-quench-temper-line-v2</x:v>
      </x:c>
      <x:c r="B8" s="40" t="str">
        <x:v>辊底式连续调质热处理线</x:v>
      </x:c>
      <x:c r="C8" s="40" t="str">
        <x:v>conditional_preview</x:v>
      </x:c>
      <x:c r="D8" s="40" t="str">
        <x:v>如果工件和工艺符合本路线，且耐磨钢板整板调质；生产条件支持连续处理；奥氏体化、转移、淬火、回火和最终冷却阶段完整；板形、辊道支撑和淬火转移经服务端确认兼容，行业常见设备方向可考虑“辊底式连续调质热处理线”。仍需工程复核，不构成最终选型或苏能供货承诺。</x:v>
      </x:c>
      <x:c r="E8" s="40" t="str">
        <x:v>需继续确认：钢种与供货状态、板尺与板厚、板形目标、淬火介质与冷却要求、产能和换型频率。</x:v>
      </x:c>
      <x:c r="F8" s="40" t="str">
        <x:v>不链接产品页；不表达苏能能力、最终选型或必须采用</x:v>
      </x:c>
    </x:row>
    <x:row r="9" ht="78.75" customHeight="1">
      <x:c r="A9" s="40" t="str">
        <x:v>eqdir-wear-plate-quench-temper-line-v2</x:v>
      </x:c>
      <x:c r="B9" s="40" t="str">
        <x:v>辊底式连续调质热处理线</x:v>
      </x:c>
      <x:c r="C9" s="40" t="str">
        <x:v>matched_direction</x:v>
      </x:c>
      <x:c r="D9" s="40" t="str">
        <x:v>根据已确认的工件、处理目的和工程兼容性条件，行业常见设备方向为“辊底式连续调质热处理线”。仍需确认：钢种与供货状态、板尺与板厚、板形目标、淬火介质与冷却要求、产能和换型频率。该结果不代表苏能已确认可提供，也不是最终选型。</x:v>
      </x:c>
      <x:c r="E9" s="40" t="str">
        <x:v>需继续确认：钢种与供货状态、板尺与板厚、板形目标、淬火介质与冷却要求、产能和换型频率。</x:v>
      </x:c>
      <x:c r="F9" s="40" t="str">
        <x:v>不链接产品页；不表达苏能能力、最终选型或必须采用</x:v>
      </x:c>
    </x:row>
    <x:row r="10" ht="78.75" customHeight="1">
      <x:c r="A10" s="40" t="str">
        <x:v>eqdir-wear-plate-quench-temper-line-v2</x:v>
      </x:c>
      <x:c r="B10" s="40" t="str">
        <x:v>辊底式连续调质热处理线</x:v>
      </x:c>
      <x:c r="C10" s="40" t="str">
        <x:v>engineering_review</x:v>
      </x:c>
      <x:c r="D10" s="40" t="str">
        <x:v>当前输入存在不兼容项，或装载、支撑、上下料、工艺链仍有关键条件待复核，暂不形成设备方向。请补充或复核：钢种与供货状态、板尺与板厚、板形目标、淬火介质与冷却要求、产能和换型频率。</x:v>
      </x:c>
      <x:c r="E10" s="40" t="str">
        <x:v>需继续确认：钢种与供货状态、板尺与板厚、板形目标、淬火介质与冷却要求、产能和换型频率。</x:v>
      </x:c>
      <x:c r="F10" s="40" t="str">
        <x:v>不链接产品页；不表达苏能能力、最终选型或必须采用</x:v>
      </x:c>
    </x:row>
    <x:row r="11" ht="78.75" customHeight="1">
      <x:c r="A11" s="40" t="str">
        <x:v>eqdir-carbon-steel-coil-bell-batch-v2</x:v>
      </x:c>
      <x:c r="B11" s="40" t="str">
        <x:v>罩式周期炉</x:v>
      </x:c>
      <x:c r="C11" s="40" t="str">
        <x:v>conditional_preview</x:v>
      </x:c>
      <x:c r="D11" s="40" t="str">
        <x:v>如果工件和工艺符合本路线，且碳钢带卷成卷退火；成卷批次装料；卷材堆叠、炉内循环路径、表面目标和气氛要求经工程确认，行业常见设备方向可考虑“罩式周期炉”。仍需工程复核，不构成最终选型或苏能供货承诺。</x:v>
      </x:c>
      <x:c r="E11" s="40" t="str">
        <x:v>需继续确认：材料牌号、带宽、卷径、卷重、堆叠方式、表面质量和气氛要求。</x:v>
      </x:c>
      <x:c r="F11" s="40" t="str">
        <x:v>不链接产品页；不表达苏能能力、最终选型或必须采用</x:v>
      </x:c>
    </x:row>
    <x:row r="12" ht="78.75" customHeight="1">
      <x:c r="A12" s="40" t="str">
        <x:v>eqdir-carbon-steel-coil-bell-batch-v2</x:v>
      </x:c>
      <x:c r="B12" s="40" t="str">
        <x:v>罩式周期炉</x:v>
      </x:c>
      <x:c r="C12" s="40" t="str">
        <x:v>matched_direction</x:v>
      </x:c>
      <x:c r="D12" s="40" t="str">
        <x:v>根据已确认的工件、处理目的和工程兼容性条件，行业常见设备方向为“罩式周期炉”。仍需确认：材料牌号、带宽、卷径、卷重、堆叠方式、表面质量和气氛要求。该结果不代表苏能已确认可提供，也不是最终选型。</x:v>
      </x:c>
      <x:c r="E12" s="40" t="str">
        <x:v>需继续确认：材料牌号、带宽、卷径、卷重、堆叠方式、表面质量和气氛要求。</x:v>
      </x:c>
      <x:c r="F12" s="40" t="str">
        <x:v>不链接产品页；不表达苏能能力、最终选型或必须采用</x:v>
      </x:c>
    </x:row>
    <x:row r="13" ht="78.75" customHeight="1">
      <x:c r="A13" s="40" t="str">
        <x:v>eqdir-carbon-steel-coil-bell-batch-v2</x:v>
      </x:c>
      <x:c r="B13" s="40" t="str">
        <x:v>罩式周期炉</x:v>
      </x:c>
      <x:c r="C13" s="40" t="str">
        <x:v>engineering_review</x:v>
      </x:c>
      <x:c r="D13" s="40" t="str">
        <x:v>当前输入存在不兼容项，或装载、支撑、上下料、工艺链仍有关键条件待复核，暂不形成设备方向。请补充或复核：材料牌号、带宽、卷径、卷重、堆叠方式、表面质量和气氛要求。</x:v>
      </x:c>
      <x:c r="E13" s="40" t="str">
        <x:v>需继续确认：材料牌号、带宽、卷径、卷重、堆叠方式、表面质量和气氛要求。</x:v>
      </x:c>
      <x:c r="F13" s="40" t="str">
        <x:v>不链接产品页；不表达苏能能力、最终选型或必须采用</x:v>
      </x:c>
    </x:row>
    <x:row r="14" ht="78.75" customHeight="1">
      <x:c r="A14" s="40" t="str">
        <x:v>eqdir-long-products-roller-thermal-v2</x:v>
      </x:c>
      <x:c r="B14" s="40" t="str">
        <x:v>辊底式连续热处理炉/线</x:v>
      </x:c>
      <x:c r="C14" s="40" t="str">
        <x:v>conditional_preview</x:v>
      </x:c>
      <x:c r="D14" s="40" t="str">
        <x:v>如果工件和工艺符合本路线，且无缝钢管、焊接钢管或圆钢棒整材退火/正火；产能、品种和装料连续性共同支持连续生产；辊道支撑、直线度和装载尺寸经服务端确认兼容，行业常见设备方向可考虑“辊底式连续热处理炉/线”。仍需工程复核，不构成最终选型或苏能供货承诺。</x:v>
      </x:c>
      <x:c r="E14" s="40" t="str">
        <x:v>需继续确认：材质、截面、长度和重量、直线度或变形要求、批量、产能、换型频率和上下料连续性。</x:v>
      </x:c>
      <x:c r="F14" s="40" t="str">
        <x:v>不链接产品页；不表达苏能能力、最终选型或必须采用</x:v>
      </x:c>
    </x:row>
    <x:row r="15" ht="78.75" customHeight="1">
      <x:c r="A15" s="40" t="str">
        <x:v>eqdir-long-products-roller-thermal-v2</x:v>
      </x:c>
      <x:c r="B15" s="40" t="str">
        <x:v>辊底式连续热处理炉/线</x:v>
      </x:c>
      <x:c r="C15" s="40" t="str">
        <x:v>matched_direction</x:v>
      </x:c>
      <x:c r="D15" s="40" t="str">
        <x:v>根据已确认的工件、处理目的和工程兼容性条件，行业常见设备方向为“辊底式连续热处理炉/线”。仍需确认：材质、截面、长度和重量、直线度或变形要求、批量、产能、换型频率和上下料连续性。该结果不代表苏能已确认可提供，也不是最终选型。</x:v>
      </x:c>
      <x:c r="E15" s="40" t="str">
        <x:v>需继续确认：材质、截面、长度和重量、直线度或变形要求、批量、产能、换型频率和上下料连续性。</x:v>
      </x:c>
      <x:c r="F15" s="40" t="str">
        <x:v>不链接产品页；不表达苏能能力、最终选型或必须采用</x:v>
      </x:c>
    </x:row>
    <x:row r="16" ht="78.75" customHeight="1">
      <x:c r="A16" s="40" t="str">
        <x:v>eqdir-long-products-roller-thermal-v2</x:v>
      </x:c>
      <x:c r="B16" s="40" t="str">
        <x:v>辊底式连续热处理炉/线</x:v>
      </x:c>
      <x:c r="C16" s="40" t="str">
        <x:v>engineering_review</x:v>
      </x:c>
      <x:c r="D16" s="40" t="str">
        <x:v>当前输入存在不兼容项，或装载、支撑、上下料、工艺链仍有关键条件待复核，暂不形成设备方向。请补充或复核：材质、截面、长度和重量、直线度或变形要求、批量、产能、换型频率和上下料连续性。</x:v>
      </x:c>
      <x:c r="E16" s="40" t="str">
        <x:v>需继续确认：材质、截面、长度和重量、直线度或变形要求、批量、产能、换型频率和上下料连续性。</x:v>
      </x:c>
      <x:c r="F16" s="40" t="str">
        <x:v>不链接产品页；不表达苏能能力、最终选型或必须采用</x:v>
      </x:c>
    </x:row>
    <x:row r="17" ht="78.75" customHeight="1">
      <x:c r="A17" s="40" t="str">
        <x:v>eqdir-wire-coil-bell-v1</x:v>
      </x:c>
      <x:c r="B17" s="40" t="str">
        <x:v>罩式周期炉</x:v>
      </x:c>
      <x:c r="C17" s="40" t="str">
        <x:v>conditional_preview</x:v>
      </x:c>
      <x:c r="D17" s="40" t="str">
        <x:v>如果工件和工艺符合本路线，且盘条卷或钢丝卷成卷球化/再结晶退火；批次装料；卷材堆叠、炉内循环、气氛和冷却边界经工程确认，行业常见设备方向可考虑“罩式周期炉”。仍需工程复核，不构成最终选型或苏能供货承诺。</x:v>
      </x:c>
      <x:c r="E17" s="40" t="str">
        <x:v>需继续确认：材料和线径、卷径与卷重、堆叠方式、表面与气氛要求、卷内外循环和冷却边界。</x:v>
      </x:c>
      <x:c r="F17" s="40" t="str">
        <x:v>不链接产品页；不表达苏能能力、最终选型或必须采用</x:v>
      </x:c>
    </x:row>
    <x:row r="18" ht="78.75" customHeight="1">
      <x:c r="A18" s="40" t="str">
        <x:v>eqdir-wire-coil-bell-v1</x:v>
      </x:c>
      <x:c r="B18" s="40" t="str">
        <x:v>罩式周期炉</x:v>
      </x:c>
      <x:c r="C18" s="40" t="str">
        <x:v>matched_direction</x:v>
      </x:c>
      <x:c r="D18" s="40" t="str">
        <x:v>根据已确认的工件、处理目的和工程兼容性条件，行业常见设备方向为“罩式周期炉”。仍需确认：材料和线径、卷径与卷重、堆叠方式、表面与气氛要求、卷内外循环和冷却边界。该结果不代表苏能已确认可提供，也不是最终选型。</x:v>
      </x:c>
      <x:c r="E18" s="40" t="str">
        <x:v>需继续确认：材料和线径、卷径与卷重、堆叠方式、表面与气氛要求、卷内外循环和冷却边界。</x:v>
      </x:c>
      <x:c r="F18" s="40" t="str">
        <x:v>不链接产品页；不表达苏能能力、最终选型或必须采用</x:v>
      </x:c>
    </x:row>
    <x:row r="19" ht="78.75" customHeight="1">
      <x:c r="A19" s="40" t="str">
        <x:v>eqdir-wire-coil-bell-v1</x:v>
      </x:c>
      <x:c r="B19" s="40" t="str">
        <x:v>罩式周期炉</x:v>
      </x:c>
      <x:c r="C19" s="40" t="str">
        <x:v>engineering_review</x:v>
      </x:c>
      <x:c r="D19" s="40" t="str">
        <x:v>当前输入存在不兼容项，或装载、支撑、上下料、工艺链仍有关键条件待复核，暂不形成设备方向。请补充或复核：材料和线径、卷径与卷重、堆叠方式、表面与气氛要求、卷内外循环和冷却边界。</x:v>
      </x:c>
      <x:c r="E19" s="40" t="str">
        <x:v>需继续确认：材料和线径、卷径与卷重、堆叠方式、表面与气氛要求、卷内外循环和冷却边界。</x:v>
      </x:c>
      <x:c r="F19" s="40" t="str">
        <x:v>不链接产品页；不表达苏能能力、最终选型或必须采用</x:v>
      </x:c>
    </x:row>
    <x:row r="20" ht="78.75" customHeight="1">
      <x:c r="A20" s="40" t="str">
        <x:v>eqdir-fastener-mesh-quench-temper-v2</x:v>
      </x:c>
      <x:c r="B20" s="40" t="str">
        <x:v>网带式调质热处理线</x:v>
      </x:c>
      <x:c r="C20" s="40" t="str">
        <x:v>conditional_preview</x:v>
      </x:c>
      <x:c r="D20" s="40" t="str">
        <x:v>如果工件和工艺符合本路线，且高强螺栓或六角螺母整体调质；批量、产能和上料连续性支持连续生产；奥氏体化、转移、淬火、回火和最终冷却完整；形状、装料密度和淬火转移经服务端确认兼容，行业常见设备方向可考虑“网带式调质热处理线”。仍需工程复核，不构成最终选型或苏能供货承诺。</x:v>
      </x:c>
      <x:c r="E20" s="40" t="str">
        <x:v>需继续确认：材料和强度等级、规格与形状、装料密度与黏连风险、气氛、淬火与冷却要求、产能和换型频率。</x:v>
      </x:c>
      <x:c r="F20" s="40" t="str">
        <x:v>不链接产品页；不表达苏能能力、最终选型或必须采用</x:v>
      </x:c>
    </x:row>
    <x:row r="21" ht="78.75" customHeight="1">
      <x:c r="A21" s="40" t="str">
        <x:v>eqdir-fastener-mesh-quench-temper-v2</x:v>
      </x:c>
      <x:c r="B21" s="40" t="str">
        <x:v>网带式调质热处理线</x:v>
      </x:c>
      <x:c r="C21" s="40" t="str">
        <x:v>matched_direction</x:v>
      </x:c>
      <x:c r="D21" s="40" t="str">
        <x:v>根据已确认的工件、处理目的和工程兼容性条件，行业常见设备方向为“网带式调质热处理线”。仍需确认：材料和强度等级、规格与形状、装料密度与黏连风险、气氛、淬火与冷却要求、产能和换型频率。该结果不代表苏能已确认可提供，也不是最终选型。</x:v>
      </x:c>
      <x:c r="E21" s="40" t="str">
        <x:v>需继续确认：材料和强度等级、规格与形状、装料密度与黏连风险、气氛、淬火与冷却要求、产能和换型频率。</x:v>
      </x:c>
      <x:c r="F21" s="40" t="str">
        <x:v>不链接产品页；不表达苏能能力、最终选型或必须采用</x:v>
      </x:c>
    </x:row>
    <x:row r="22" ht="78.75" customHeight="1">
      <x:c r="A22" s="40" t="str">
        <x:v>eqdir-fastener-mesh-quench-temper-v2</x:v>
      </x:c>
      <x:c r="B22" s="40" t="str">
        <x:v>网带式调质热处理线</x:v>
      </x:c>
      <x:c r="C22" s="40" t="str">
        <x:v>engineering_review</x:v>
      </x:c>
      <x:c r="D22" s="40" t="str">
        <x:v>当前输入存在不兼容项，或装载、支撑、上下料、工艺链仍有关键条件待复核，暂不形成设备方向。请补充或复核：材料和强度等级、规格与形状、装料密度与黏连风险、气氛、淬火与冷却要求、产能和换型频率。</x:v>
      </x:c>
      <x:c r="E22" s="40" t="str">
        <x:v>需继续确认：材料和强度等级、规格与形状、装料密度与黏连风险、气氛、淬火与冷却要求、产能和换型频率。</x:v>
      </x:c>
      <x:c r="F22" s="40" t="str">
        <x:v>不链接产品页；不表达苏能能力、最终选型或必须采用</x:v>
      </x:c>
    </x:row>
  </x:sheetData>
  <x:mergeCells>
    <x:mergeCell ref="A1:F1"/>
    <x:mergeCell ref="A2:F2"/>
  </x:mergeCells>
  <x:conditionalFormatting sqref="C5:C22">
    <x:cfRule type="containsText" dxfId="2" priority="1" operator="containsText" text="matched_direction"/>
    <x:cfRule type="containsText" dxfId="3" priority="2" operator="containsText" text="engineering_review"/>
  </x:conditionalFormatting>
  <x:pageMargins left="0.7" right="0.7" top="0.75" bottom="0.75" header="0.3" footer="0.3"/>
  <x:tableParts count="1">
    <x:tablePart xmlns:r="http://schemas.openxmlformats.org/officeDocument/2006/relationships" r:id="Rf2b4f9b52c8f4f05"/>
  </x:tableParts>
</x:worksheet>
</file>