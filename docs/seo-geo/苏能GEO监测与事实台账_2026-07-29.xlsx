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c99662208e413d" /></Relationships>
</file>

<file path=xl/workbook.xml><?xml version="1.0" encoding="utf-8"?>
<x:workbook xmlns:x="http://schemas.openxmlformats.org/spreadsheetml/2006/main">
  <x:sheets>
    <x:sheet xmlns:r="http://schemas.openxmlformats.org/officeDocument/2006/relationships" name="基线总览" sheetId="1" r:id="R5ebcd8e9891240c8"/>
    <x:sheet xmlns:r="http://schemas.openxmlformats.org/officeDocument/2006/relationships" name="复测明细" sheetId="2" r:id="Rf2e4cc5991e64dd4"/>
    <x:sheet xmlns:r="http://schemas.openxmlformats.org/officeDocument/2006/relationships" name="55问题库" sheetId="3" r:id="Rb946a04116344014"/>
    <x:sheet xmlns:r="http://schemas.openxmlformats.org/officeDocument/2006/relationships" name="事实单元" sheetId="4" r:id="Ra7e192ed223d44cb"/>
    <x:sheet xmlns:r="http://schemas.openxmlformats.org/officeDocument/2006/relationships" name="审核字典" sheetId="5" r:id="R36a243f7a5fe4be5"/>
    <x:sheet xmlns:r="http://schemas.openxmlformats.org/officeDocument/2006/relationships" name="R2哨兵_20260811" sheetId="6" r:id="R93a3efb1e8ce472c"/>
    <x:sheet xmlns:r="http://schemas.openxmlformats.org/officeDocument/2006/relationships" name="轮次口径" sheetId="7" r:id="Rb72fc40db399404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
    <x:numFmt numFmtId="201" formatCode="yyyy-mm-dd"/>
    <x:numFmt numFmtId="202" formatCode="0.0%"/>
  </x:numFmts>
  <x:fonts count="13">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
      <x:b/>
      <x:sz val="11"/>
      <x:color rgb="FF12354A"/>
      <x:name val="Carlito"/>
    </x:font>
    <x:font>
      <x:b/>
      <x:sz val="11"/>
      <x:color rgb="FFC00000"/>
      <x:name val="Carlito"/>
    </x:font>
    <x:font>
      <x:i/>
      <x:sz val="11"/>
      <x:color rgb="FF7F6000"/>
      <x:name val="Carlito"/>
    </x:font>
    <x:font>
      <x:b/>
      <x:sz val="11"/>
      <x:color rgb="FF9C0006"/>
      <x:name val="Carlito"/>
    </x:font>
  </x:fonts>
  <x:fills count="21">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
      <x:patternFill patternType="solid">
        <x:fgColor rgb="FF12354A"/>
      </x:patternFill>
    </x:fill>
    <x:fill>
      <x:patternFill patternType="solid">
        <x:fgColor rgb="FFDDEBF1"/>
      </x:patternFill>
    </x:fill>
    <x:fill>
      <x:patternFill patternType="solid">
        <x:fgColor rgb="FFF8FBFC"/>
      </x:patternFill>
    </x:fill>
    <x:fill>
      <x:patternFill patternType="solid">
        <x:fgColor rgb="FF237B98"/>
      </x:patternFill>
    </x:fill>
    <x:fill>
      <x:patternFill patternType="solid">
        <x:fgColor rgb="FFFFF2CC"/>
      </x:patternFill>
    </x:fill>
    <x:fill>
      <x:patternFill patternType="solid">
        <x:fgColor rgb="FFDDEBF1"/>
      </x:patternFill>
    </x:fill>
    <x:fill>
      <x:patternFill patternType="solid">
        <x:fgColor rgb="FFDDEBF1"/>
      </x:patternFill>
    </x:fill>
    <x:fill>
      <x:patternFill patternType="solid">
        <x:fgColor rgb="FF12354A"/>
      </x:patternFill>
    </x:fill>
    <x:fill>
      <x:patternFill patternType="solid">
        <x:fgColor rgb="FF237B98"/>
      </x:patternFill>
    </x:fill>
    <x:fill>
      <x:patternFill patternType="solid">
        <x:fgColor rgb="FFFCE4D6"/>
      </x:patternFill>
    </x:fill>
    <x:fill>
      <x:patternFill patternType="solid">
        <x:fgColor rgb="FF12354A"/>
      </x:patternFill>
    </x:fill>
    <x:fill>
      <x:patternFill patternType="solid">
        <x:fgColor rgb="FF237B98"/>
      </x:patternFill>
    </x:fill>
    <x:fill>
      <x:patternFill patternType="solid">
        <x:fgColor rgb="FFFCE4D6"/>
      </x:patternFill>
    </x:fill>
    <x:fill>
      <x:patternFill patternType="solid">
        <x:fgColor rgb="FF12354A"/>
      </x:patternFill>
    </x:fill>
    <x:fill>
      <x:patternFill patternType="solid">
        <x:fgColor rgb="FF237B98"/>
      </x:patternFill>
    </x:fill>
    <x:fill>
      <x:patternFill patternType="solid">
        <x:fgColor rgb="FFFCE4D6"/>
      </x:patternFill>
    </x:fill>
  </x:fills>
  <x:borders count="3">
    <x:border/>
    <x:border>
      <x:left style="thin">
        <x:color rgb="FFD7E0E5"/>
      </x:left>
      <x:right style="thin">
        <x:color rgb="FFD7E0E5"/>
      </x:right>
      <x:top style="thin">
        <x:color rgb="FFD7E0E5"/>
      </x:top>
      <x:bottom style="thin">
        <x:color rgb="FFD7E0E5"/>
      </x:bottom>
    </x:border>
    <x:border>
      <x:left style="thin">
        <x:color rgb="FFD6E2E8"/>
      </x:left>
      <x:right style="thin">
        <x:color rgb="FFD6E2E8"/>
      </x:right>
      <x:top style="thin">
        <x:color rgb="FFD6E2E8"/>
      </x:top>
      <x:bottom style="thin">
        <x:color rgb="FFD6E2E8"/>
      </x:bottom>
    </x:border>
  </x:borders>
  <x:cellStyleXfs count="1">
    <x:xf numFmtId="0" fontId="0" fillId="0" borderId="0"/>
  </x:cellStyleXfs>
  <x:cellXfs count="9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xf numFmtId="201" fontId="0" fillId="0" borderId="0" xfId="0" applyNumberFormat="1" applyFont="1" applyFill="1" applyBorder="1"/>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wrapText="1"/>
    </x:xf>
    <x:xf numFmtId="0" fontId="2" fillId="5" borderId="0" xfId="0" applyNumberFormat="1" applyFont="1" applyFill="1" applyBorder="1" applyAlignment="1">
      <x:alignment vertical="center" wrapText="1"/>
    </x:xf>
    <x:xf numFmtId="202" fontId="0" fillId="0" borderId="0" xfId="0" applyNumberFormat="1" applyFont="1" applyFill="1" applyBorder="1"/>
    <x:xf numFmtId="0" fontId="0" fillId="0" borderId="2" xfId="0" applyNumberFormat="1" applyFont="1" applyFill="1" applyBorder="1"/>
    <x:xf numFmtId="202" fontId="0" fillId="0" borderId="2" xfId="0" applyNumberFormat="1" applyFont="1" applyFill="1" applyBorder="1"/>
    <x:xf numFmtId="0" fontId="0" fillId="0" borderId="2" xfId="0" applyNumberFormat="1" applyFont="1" applyFill="1" applyBorder="1" applyAlignment="1">
      <x:alignment vertical="center"/>
    </x:xf>
    <x:xf numFmtId="202" fontId="0" fillId="0" borderId="2" xfId="0" applyNumberFormat="1" applyFont="1" applyFill="1" applyBorder="1" applyAlignment="1">
      <x:alignment vertical="center"/>
    </x:xf>
    <x:xf numFmtId="0" fontId="0" fillId="6" borderId="2" xfId="0" applyNumberFormat="1" applyFont="1" applyFill="1" applyBorder="1" applyAlignment="1">
      <x:alignment vertical="center"/>
    </x:xf>
    <x:xf numFmtId="0" fontId="9" fillId="6" borderId="2" xfId="0" applyNumberFormat="1" applyFont="1" applyFill="1" applyBorder="1" applyAlignment="1">
      <x:alignment vertical="center"/>
    </x:xf>
    <x:xf numFmtId="0" fontId="0" fillId="7" borderId="2" xfId="0" applyNumberFormat="1" applyFont="1" applyFill="1" applyBorder="1" applyAlignment="1">
      <x:alignment vertical="center"/>
    </x:xf>
    <x:xf numFmtId="0" fontId="10" fillId="7" borderId="2" xfId="0" applyNumberFormat="1" applyFont="1" applyFill="1" applyBorder="1" applyAlignment="1">
      <x:alignment vertical="center"/>
    </x:xf>
    <x:xf numFmtId="0" fontId="10" fillId="7" borderId="2" xfId="0" applyNumberFormat="1" applyFont="1" applyFill="1" applyBorder="1" applyAlignment="1">
      <x:alignment horizontal="center" vertical="center"/>
    </x:xf>
    <x:xf numFmtId="0" fontId="0" fillId="8" borderId="2" xfId="0" applyNumberFormat="1" applyFont="1" applyFill="1" applyBorder="1"/>
    <x:xf numFmtId="0" fontId="2" fillId="8" borderId="2" xfId="0" applyNumberFormat="1" applyFont="1" applyFill="1" applyBorder="1"/>
    <x:xf numFmtId="0" fontId="2" fillId="8" borderId="2" xfId="0" applyNumberFormat="1" applyFont="1" applyFill="1" applyBorder="1" applyAlignment="1">
      <x:alignment horizontal="center"/>
    </x:xf>
    <x:xf numFmtId="0" fontId="0" fillId="9" borderId="0" xfId="0" applyNumberFormat="1" applyFont="1" applyFill="1" applyBorder="1"/>
    <x:xf numFmtId="0" fontId="11" fillId="9" borderId="0" xfId="0" applyNumberFormat="1" applyFont="1" applyFill="1" applyBorder="1"/>
    <x:xf numFmtId="0" fontId="11" fillId="9" borderId="0" xfId="0" applyNumberFormat="1" applyFont="1" applyFill="1" applyBorder="1" applyAlignment="1">
      <x:alignment wrapText="1"/>
    </x:xf>
    <x:xf numFmtId="0" fontId="11" fillId="9" borderId="0" xfId="0" applyNumberFormat="1" applyFont="1" applyFill="1" applyBorder="1" applyAlignment="1">
      <x:alignment vertical="center" wrapText="1"/>
    </x:xf>
    <x:xf numFmtId="201" fontId="0" fillId="0" borderId="2" xfId="0" applyNumberFormat="1" applyFont="1" applyFill="1" applyBorder="1"/>
    <x:xf numFmtId="0" fontId="2" fillId="8" borderId="2" xfId="0" applyNumberFormat="1" applyFont="1" applyFill="1" applyBorder="1" applyAlignment="1">
      <x:alignment wrapText="1"/>
    </x:xf>
    <x:xf numFmtId="0" fontId="2" fillId="8" borderId="2" xfId="0" applyNumberFormat="1" applyFont="1" applyFill="1" applyBorder="1" applyAlignment="1">
      <x:alignment horizontal="center" wrapText="1"/>
    </x:xf>
    <x:xf numFmtId="201" fontId="0" fillId="0" borderId="2" xfId="0" applyNumberFormat="1" applyFont="1" applyFill="1" applyBorder="1" applyAlignment="1">
      <x:alignment vertical="top"/>
    </x:xf>
    <x:xf numFmtId="0" fontId="0" fillId="0" borderId="2" xfId="0" applyNumberFormat="1" applyFont="1" applyFill="1" applyBorder="1" applyAlignment="1">
      <x:alignment vertical="top"/>
    </x:xf>
    <x:xf numFmtId="0" fontId="0" fillId="0" borderId="2" xfId="0" applyNumberFormat="1" applyFont="1" applyFill="1" applyBorder="1" applyAlignment="1">
      <x:alignment vertical="top" wrapText="1"/>
    </x:xf>
    <x:xf numFmtId="0" fontId="9" fillId="10" borderId="2" xfId="0" applyNumberFormat="1" applyFont="1" applyFill="1" applyBorder="1" applyAlignment="1">
      <x:alignment vertical="center"/>
    </x:xf>
    <x:xf numFmtId="0" fontId="0" fillId="10" borderId="2" xfId="0" applyNumberFormat="1" applyFont="1" applyFill="1" applyBorder="1" applyAlignment="1">
      <x:alignment vertical="center"/>
    </x:xf>
    <x:xf numFmtId="0" fontId="9" fillId="11" borderId="2" xfId="0" applyNumberFormat="1" applyFont="1" applyFill="1" applyBorder="1" applyAlignment="1">
      <x:alignment vertical="center"/>
    </x:xf>
    <x:xf numFmtId="0" fontId="1" fillId="12" borderId="0" xfId="0" applyNumberFormat="1" applyFont="1" applyFill="1" applyBorder="1" applyAlignment="1">
      <x:alignment vertical="center"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wrapText="1"/>
    </x:xf>
    <x:xf numFmtId="0" fontId="2" fillId="12" borderId="0" xfId="0" applyNumberFormat="1" applyFont="1" applyFill="1" applyBorder="1" applyAlignment="1">
      <x:alignment vertical="center" wrapText="1"/>
    </x:xf>
    <x:xf numFmtId="0" fontId="2" fillId="13" borderId="2" xfId="0" applyNumberFormat="1" applyFont="1" applyFill="1" applyBorder="1" applyAlignment="1">
      <x:alignment horizontal="center"/>
    </x:xf>
    <x:xf numFmtId="0" fontId="0" fillId="13" borderId="2" xfId="0" applyNumberFormat="1" applyFont="1" applyFill="1" applyBorder="1"/>
    <x:xf numFmtId="0" fontId="2" fillId="13" borderId="2" xfId="0" applyNumberFormat="1" applyFont="1" applyFill="1" applyBorder="1"/>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12" fillId="14" borderId="0" xfId="0" applyNumberFormat="1" applyFont="1" applyFill="1" applyBorder="1" applyAlignment="1">
      <x:alignment vertical="center" wrapText="1"/>
    </x:xf>
    <x:xf numFmtId="0" fontId="2" fillId="12" borderId="0" xfId="0" applyNumberFormat="1" applyFont="1" applyFill="1" applyBorder="1" applyAlignment="1">
      <x:alignment vertical="center"/>
    </x:xf>
    <x:xf numFmtId="0" fontId="0" fillId="0" borderId="2" xfId="0" applyNumberFormat="1" applyFont="1" applyFill="1" applyBorder="1" applyAlignment="1">
      <x:alignment wrapText="1"/>
    </x:xf>
    <x:xf numFmtId="201" fontId="0" fillId="0" borderId="2" xfId="0" applyNumberFormat="1" applyFont="1" applyFill="1" applyBorder="1" applyAlignment="1">
      <x:alignment wrapText="1"/>
    </x:xf>
    <x:xf numFmtId="0" fontId="1" fillId="15" borderId="0" xfId="0" applyNumberFormat="1" applyFont="1" applyFill="1" applyBorder="1" applyAlignment="1">
      <x:alignment vertical="center" wrapText="1"/>
    </x:xf>
    <x:xf numFmtId="0" fontId="2" fillId="15" borderId="0" xfId="0" applyNumberFormat="1" applyFont="1" applyFill="1" applyBorder="1" applyAlignment="1">
      <x:alignment vertical="center" wrapText="1"/>
    </x:xf>
    <x:xf numFmtId="0" fontId="2" fillId="16" borderId="2" xfId="0" applyNumberFormat="1" applyFont="1" applyFill="1" applyBorder="1" applyAlignment="1">
      <x:alignment horizontal="center"/>
    </x:xf>
    <x:xf numFmtId="0" fontId="0" fillId="16" borderId="2" xfId="0" applyNumberFormat="1" applyFont="1" applyFill="1" applyBorder="1"/>
    <x:xf numFmtId="0" fontId="2" fillId="16" borderId="2" xfId="0" applyNumberFormat="1" applyFont="1" applyFill="1" applyBorder="1"/>
    <x:xf numFmtId="0" fontId="12" fillId="17" borderId="0" xfId="0" applyNumberFormat="1" applyFont="1" applyFill="1" applyBorder="1" applyAlignment="1">
      <x:alignment vertical="center"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vertical="center"/>
    </x:xf>
    <x:xf numFmtId="0" fontId="1" fillId="18" borderId="0" xfId="0" applyNumberFormat="1" applyFont="1" applyFill="1" applyBorder="1" applyAlignment="1">
      <x:alignment vertical="center" wrapText="1"/>
    </x:xf>
    <x:xf numFmtId="0" fontId="2" fillId="18" borderId="0" xfId="0" applyNumberFormat="1" applyFont="1" applyFill="1" applyBorder="1" applyAlignment="1">
      <x:alignment vertical="center" wrapText="1"/>
    </x:xf>
    <x:xf numFmtId="0" fontId="2" fillId="19" borderId="2" xfId="0" applyNumberFormat="1" applyFont="1" applyFill="1" applyBorder="1" applyAlignment="1">
      <x:alignment horizontal="center"/>
    </x:xf>
    <x:xf numFmtId="0" fontId="0" fillId="19" borderId="2" xfId="0" applyNumberFormat="1" applyFont="1" applyFill="1" applyBorder="1"/>
    <x:xf numFmtId="0" fontId="2" fillId="19" borderId="2" xfId="0" applyNumberFormat="1" applyFont="1" applyFill="1" applyBorder="1"/>
    <x:xf numFmtId="0" fontId="12" fillId="20" borderId="0" xfId="0" applyNumberFormat="1" applyFont="1" applyFill="1" applyBorder="1" applyAlignment="1">
      <x:alignment vertical="center" wrapText="1"/>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vertical="center"/>
    </x:xf>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b997911d094084" /><Relationship Type="http://schemas.openxmlformats.org/officeDocument/2006/relationships/theme" Target="/xl/theme/theme1.xml" Id="R6d2ed6c03c244816" /><Relationship Type="http://schemas.openxmlformats.org/officeDocument/2006/relationships/sharedStrings" Target="/xl/sharedStrings.xml" Id="R31b98fea132f489e" /><Relationship Type="http://schemas.openxmlformats.org/officeDocument/2006/relationships/worksheet" Target="/xl/worksheets/sheet1.xml" Id="R5ebcd8e9891240c8" /><Relationship Type="http://schemas.openxmlformats.org/officeDocument/2006/relationships/worksheet" Target="/xl/worksheets/sheet2.xml" Id="Rf2e4cc5991e64dd4" /><Relationship Type="http://schemas.openxmlformats.org/officeDocument/2006/relationships/worksheet" Target="/xl/worksheets/sheet3.xml" Id="Rb946a04116344014" /><Relationship Type="http://schemas.openxmlformats.org/officeDocument/2006/relationships/worksheet" Target="/xl/worksheets/sheet4.xml" Id="Ra7e192ed223d44cb" /><Relationship Type="http://schemas.openxmlformats.org/officeDocument/2006/relationships/worksheet" Target="/xl/worksheets/sheet5.xml" Id="R36a243f7a5fe4be5" /><Relationship Type="http://schemas.openxmlformats.org/officeDocument/2006/relationships/worksheet" Target="/xl/worksheets/sheet6.xml" Id="R93a3efb1e8ce472c" /><Relationship Type="http://schemas.openxmlformats.org/officeDocument/2006/relationships/worksheet" Target="/xl/worksheets/sheet7.xml" Id="Rb72fc40db399404d" /></Relationships>
</file>

<file path=xl/tables/table1.xml><?xml version="1.0" encoding="utf-8"?>
<x:table xmlns:x="http://schemas.openxmlformats.org/spreadsheetml/2006/main" id="5" name="GeoRetestTable" displayName="GeoRetestTable" ref="A4:W314" headerRowCount="1" totalsRowCount="0" totalsRowShown="0">
  <x:tableColumns count="23">
    <x:tableColumn id="1" name="轮次"/>
    <x:tableColumn id="2" name="测试日期"/>
    <x:tableColumn id="3" name="问题库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 id="23" name="轮次记录编号"/>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ables/table4.xml><?xml version="1.0" encoding="utf-8"?>
<x:table xmlns:x="http://schemas.openxmlformats.org/spreadsheetml/2006/main" id="4" name="R2Sentinel20260811Table" displayName="R2Sentinel20260811Table" ref="A13:Z49" headerRowCount="1" totalsRowCount="0" totalsRowShown="0">
  <x:tableColumns count="26">
    <x:tableColumn id="1" name="测试日期"/>
    <x:tableColumn id="2" name="Query编号"/>
    <x:tableColumn id="3" name="固定问法"/>
    <x:tableColumn id="4" name="平台"/>
    <x:tableColumn id="5" name="苏能（有/无）"/>
    <x:tableColumn id="6" name="官网引用"/>
    <x:tableColumn id="7" name="官网链接数"/>
    <x:tableColumn id="8" name="引用网址数"/>
    <x:tableColumn id="9" name="证据完整性"/>
    <x:tableColumn id="10" name="引用网址1"/>
    <x:tableColumn id="11" name="引用网址2"/>
    <x:tableColumn id="12" name="引用网址3"/>
    <x:tableColumn id="13" name="引用网址4"/>
    <x:tableColumn id="14" name="引用网址5"/>
    <x:tableColumn id="15" name="引用网址6"/>
    <x:tableColumn id="16" name="引用网址7"/>
    <x:tableColumn id="17" name="引用网址8"/>
    <x:tableColumn id="18" name="引用网址9"/>
    <x:tableColumn id="19" name="引用网址10"/>
    <x:tableColumn id="20" name="引用网址11"/>
    <x:tableColumn id="21" name="引用网址12"/>
    <x:tableColumn id="22" name="引用网址13"/>
    <x:tableColumn id="23" name="引用网址14"/>
    <x:tableColumn id="24" name="引用网址15"/>
    <x:tableColumn id="25" name="源文件"/>
    <x:tableColumn id="26"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cafddd6feb24d5c" /></Relationships>
</file>

<file path=xl/worksheets/_rels/sheet3.xml.rels>&#65279;<?xml version="1.0" encoding="utf-8"?><Relationships xmlns="http://schemas.openxmlformats.org/package/2006/relationships"><Relationship Type="http://schemas.openxmlformats.org/officeDocument/2006/relationships/table" Target="/xl/tables/table2.xml" Id="R5a01c4bf9c9c43fb" /></Relationships>
</file>

<file path=xl/worksheets/_rels/sheet4.xml.rels>&#65279;<?xml version="1.0" encoding="utf-8"?><Relationships xmlns="http://schemas.openxmlformats.org/package/2006/relationships"><Relationship Type="http://schemas.openxmlformats.org/officeDocument/2006/relationships/table" Target="/xl/tables/table3.xml" Id="Rc10019519edc48b0" /></Relationships>
</file>

<file path=xl/worksheets/_rels/sheet6.xml.rels>&#65279;<?xml version="1.0" encoding="utf-8"?><Relationships xmlns="http://schemas.openxmlformats.org/package/2006/relationships"><Relationship Type="http://schemas.openxmlformats.org/officeDocument/2006/relationships/table" Target="/xl/tables/table4.xml" Id="R04c8e531d4f1494e"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88.5" customHeight="1">
      <x:c r="A11" s="19" t="str">
        <x:v>事实资产发布状态</x:v>
      </x:c>
      <x:c r="B11" s="19" t="n">
        <x:v>23</x:v>
      </x:c>
      <x:c r="C11" s="19" t="str">
        <x:v>23 项可发布（17 项资料参数 + 6 项 P5 技术方法）</x:v>
      </x:c>
      <x:c r="D11" s="19" t="str">
        <x:v>新增 Q1–Q6 技术方法事实已按钱波提供的最终答复完成确认；青山 F01 与 F05 已完成合同/技术方案原件核查并升级为资料确认。F02–F04 仍是技术方案测算值，F06 缺第三方检测/验收报告，继续按独立高责任事实管理。</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2"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 min="23" max="23" width="16" hidden="0" customWidth="1"/>
  </x:cols>
  <x:sheetData>
    <x:row r="1" ht="30" customHeight="1">
      <x:c r="A1" s="85" t="str">
        <x:v>GEO 复测明细（清洗版）
R1 274 条 + R2 36 条 = 共 310 条；问题库编号已统一，轮次记录编号独立保存。</x:v>
      </x:c>
      <x:c r="B1" s="85" t="str">
        <x:v>GEO 复测明细（清洗版）
保留原 274 条记录；清除 169 个错误 HYPERLINK 公式；只用纯文本记录“是/否”。</x:v>
      </x:c>
      <x:c r="C1" s="85" t="str">
        <x:v>GEO 复测明细（清洗版）
保留原 274 条记录；清除 169 个错误 HYPERLINK 公式；只用纯文本记录“是/否”。</x:v>
      </x:c>
      <x:c r="D1" s="85" t="str">
        <x:v>GEO 复测明细（清洗版）
保留原 274 条记录；清除 169 个错误 HYPERLINK 公式；只用纯文本记录“是/否”。</x:v>
      </x:c>
      <x:c r="E1" s="85" t="str">
        <x:v>GEO 复测明细（清洗版）
保留原 274 条记录；清除 169 个错误 HYPERLINK 公式；只用纯文本记录“是/否”。</x:v>
      </x:c>
      <x:c r="F1" s="85" t="str">
        <x:v>GEO 复测明细（清洗版）
保留原 274 条记录；清除 169 个错误 HYPERLINK 公式；只用纯文本记录“是/否”。</x:v>
      </x:c>
      <x:c r="G1" s="85" t="str">
        <x:v>GEO 复测明细（清洗版）
保留原 274 条记录；清除 169 个错误 HYPERLINK 公式；只用纯文本记录“是/否”。</x:v>
      </x:c>
      <x:c r="H1" s="85" t="str">
        <x:v>GEO 复测明细（清洗版）
保留原 274 条记录；清除 169 个错误 HYPERLINK 公式；只用纯文本记录“是/否”。</x:v>
      </x:c>
      <x:c r="I1" s="85" t="str">
        <x:v>GEO 复测明细（清洗版）
保留原 274 条记录；清除 169 个错误 HYPERLINK 公式；只用纯文本记录“是/否”。</x:v>
      </x:c>
      <x:c r="J1" s="85" t="str">
        <x:v>GEO 复测明细（清洗版）
保留原 274 条记录；清除 169 个错误 HYPERLINK 公式；只用纯文本记录“是/否”。</x:v>
      </x:c>
      <x:c r="K1" s="86"/>
      <x:c r="L1" s="86"/>
      <x:c r="M1" s="86"/>
      <x:c r="N1" s="86"/>
      <x:c r="O1" s="86"/>
      <x:c r="P1" s="86"/>
      <x:c r="Q1" s="86"/>
      <x:c r="R1" s="86"/>
      <x:c r="S1" s="86"/>
      <x:c r="T1" s="86"/>
      <x:c r="U1" s="86"/>
      <x:c r="V1" s="86"/>
      <x:c r="W1" s="86"/>
    </x:row>
    <x:row r="2" ht="30" customHeight="1">
      <x:c r="A2" s="85" t="str">
        <x:v>GEO 复测明细（清洗版）
保留原 274 条记录；清除 169 个错误 HYPERLINK 公式；只用纯文本记录“是/否”。</x:v>
      </x:c>
      <x:c r="B2" s="85" t="str">
        <x:v>GEO 复测明细（清洗版）
保留原 274 条记录；清除 169 个错误 HYPERLINK 公式；只用纯文本记录“是/否”。</x:v>
      </x:c>
      <x:c r="C2" s="85" t="str">
        <x:v>GEO 复测明细（清洗版）
保留原 274 条记录；清除 169 个错误 HYPERLINK 公式；只用纯文本记录“是/否”。</x:v>
      </x:c>
      <x:c r="D2" s="85" t="str">
        <x:v>GEO 复测明细（清洗版）
保留原 274 条记录；清除 169 个错误 HYPERLINK 公式；只用纯文本记录“是/否”。</x:v>
      </x:c>
      <x:c r="E2" s="85" t="str">
        <x:v>GEO 复测明细（清洗版）
保留原 274 条记录；清除 169 个错误 HYPERLINK 公式；只用纯文本记录“是/否”。</x:v>
      </x:c>
      <x:c r="F2" s="85" t="str">
        <x:v>GEO 复测明细（清洗版）
保留原 274 条记录；清除 169 个错误 HYPERLINK 公式；只用纯文本记录“是/否”。</x:v>
      </x:c>
      <x:c r="G2" s="85" t="str">
        <x:v>GEO 复测明细（清洗版）
保留原 274 条记录；清除 169 个错误 HYPERLINK 公式；只用纯文本记录“是/否”。</x:v>
      </x:c>
      <x:c r="H2" s="85" t="str">
        <x:v>GEO 复测明细（清洗版）
保留原 274 条记录；清除 169 个错误 HYPERLINK 公式；只用纯文本记录“是/否”。</x:v>
      </x:c>
      <x:c r="I2" s="85" t="str">
        <x:v>GEO 复测明细（清洗版）
保留原 274 条记录；清除 169 个错误 HYPERLINK 公式；只用纯文本记录“是/否”。</x:v>
      </x:c>
      <x:c r="J2" s="85" t="str">
        <x:v>GEO 复测明细（清洗版）
保留原 274 条记录；清除 169 个错误 HYPERLINK 公式；只用纯文本记录“是/否”。</x:v>
      </x:c>
      <x:c r="K2" s="86"/>
      <x:c r="L2" s="86"/>
      <x:c r="M2" s="86"/>
      <x:c r="N2" s="86"/>
      <x:c r="O2" s="86"/>
      <x:c r="P2" s="86"/>
      <x:c r="Q2" s="86"/>
      <x:c r="R2" s="86"/>
      <x:c r="S2" s="86"/>
      <x:c r="T2" s="86"/>
      <x:c r="U2" s="86"/>
      <x:c r="V2" s="86"/>
      <x:c r="W2" s="86"/>
    </x:row>
    <x:row r="4" ht="32" customHeight="1">
      <x:c r="A4" s="24" t="str">
        <x:v>轮次</x:v>
      </x:c>
      <x:c r="B4" s="24" t="str">
        <x:v>测试日期</x:v>
      </x:c>
      <x:c r="C4" s="24" t="str">
        <x:v>问题库编号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c r="W4" t="str">
        <x:v>轮次记录编号</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c r="W5" t="str">
        <x:v>R1-001</x:v>
      </x:c>
    </x:row>
    <x:row r="6" ht="32" customHeight="1">
      <x:c r="A6" s="25" t="str">
        <x:v>R1</x:v>
      </x:c>
      <x:c r="B6" s="26" t="n">
        <x:v>46232.166666666664</x:v>
      </x:c>
      <x:c r="C6" s="25" t="n">
        <x:v>1</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c r="W6" t="str">
        <x:v>R1-002</x:v>
      </x:c>
    </x:row>
    <x:row r="7" ht="32" customHeight="1">
      <x:c r="A7" s="25" t="str">
        <x:v>R1</x:v>
      </x:c>
      <x:c r="B7" s="26" t="n">
        <x:v>46232.166666666664</x:v>
      </x:c>
      <x:c r="C7" s="25" t="n">
        <x:v>1</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c r="W7" t="str">
        <x:v>R1-003</x:v>
      </x:c>
    </x:row>
    <x:row r="8" ht="32" customHeight="1">
      <x:c r="A8" s="25" t="str">
        <x:v>R1</x:v>
      </x:c>
      <x:c r="B8" s="26" t="n">
        <x:v>46232.166666666664</x:v>
      </x:c>
      <x:c r="C8" s="25" t="n">
        <x:v>1</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c r="W8" t="str">
        <x:v>R1-004</x:v>
      </x:c>
    </x:row>
    <x:row r="9" ht="32" customHeight="1">
      <x:c r="A9" s="25" t="str">
        <x:v>R1</x:v>
      </x:c>
      <x:c r="B9" s="26" t="n">
        <x:v>46232.166666666664</x:v>
      </x:c>
      <x:c r="C9" s="25" t="n">
        <x:v>1</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c r="W9" t="str">
        <x:v>R1-005</x:v>
      </x:c>
    </x:row>
    <x:row r="10" ht="32" customHeight="1">
      <x:c r="A10" s="25" t="str">
        <x:v>R1</x:v>
      </x:c>
      <x:c r="B10" s="26" t="n">
        <x:v>46232.166666666664</x:v>
      </x:c>
      <x:c r="C10" s="25" t="n">
        <x:v>2</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c r="W10" t="str">
        <x:v>R1-006</x:v>
      </x:c>
    </x:row>
    <x:row r="11" ht="32" customHeight="1">
      <x:c r="A11" s="25" t="str">
        <x:v>R1</x:v>
      </x:c>
      <x:c r="B11" s="26" t="n">
        <x:v>46232.166666666664</x:v>
      </x:c>
      <x:c r="C11" s="25" t="n">
        <x:v>2</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c r="W11" t="str">
        <x:v>R1-007</x:v>
      </x:c>
    </x:row>
    <x:row r="12" ht="32" customHeight="1">
      <x:c r="A12" s="25" t="str">
        <x:v>R1</x:v>
      </x:c>
      <x:c r="B12" s="26" t="n">
        <x:v>46232.166666666664</x:v>
      </x:c>
      <x:c r="C12" s="25" t="n">
        <x:v>2</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c r="W12" t="str">
        <x:v>R1-008</x:v>
      </x:c>
    </x:row>
    <x:row r="13" ht="32" customHeight="1">
      <x:c r="A13" s="25" t="str">
        <x:v>R1</x:v>
      </x:c>
      <x:c r="B13" s="26" t="n">
        <x:v>46232.166666666664</x:v>
      </x:c>
      <x:c r="C13" s="25" t="n">
        <x:v>2</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c r="W13" t="str">
        <x:v>R1-009</x:v>
      </x:c>
    </x:row>
    <x:row r="14" ht="32" customHeight="1">
      <x:c r="A14" s="25" t="str">
        <x:v>R1</x:v>
      </x:c>
      <x:c r="B14" s="26" t="n">
        <x:v>46232.166666666664</x:v>
      </x:c>
      <x:c r="C14" s="25" t="n">
        <x:v>2</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c r="W14" t="str">
        <x:v>R1-010</x:v>
      </x:c>
    </x:row>
    <x:row r="15" ht="32" customHeight="1">
      <x:c r="A15" s="25" t="str">
        <x:v>R1</x:v>
      </x:c>
      <x:c r="B15" s="26" t="n">
        <x:v>46232.166666666664</x:v>
      </x:c>
      <x:c r="C15" s="25" t="n">
        <x:v>3</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c r="W15" t="str">
        <x:v>R1-011</x:v>
      </x:c>
    </x:row>
    <x:row r="16" ht="32" customHeight="1">
      <x:c r="A16" s="25" t="str">
        <x:v>R1</x:v>
      </x:c>
      <x:c r="B16" s="26" t="n">
        <x:v>46232.166666666664</x:v>
      </x:c>
      <x:c r="C16" s="25" t="n">
        <x:v>3</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c r="W16" t="str">
        <x:v>R1-012</x:v>
      </x:c>
    </x:row>
    <x:row r="17" ht="32" customHeight="1">
      <x:c r="A17" s="25" t="str">
        <x:v>R1</x:v>
      </x:c>
      <x:c r="B17" s="26" t="n">
        <x:v>46232.166666666664</x:v>
      </x:c>
      <x:c r="C17" s="25" t="n">
        <x:v>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c r="W17" t="str">
        <x:v>R1-013</x:v>
      </x:c>
    </x:row>
    <x:row r="18" ht="32" customHeight="1">
      <x:c r="A18" s="25" t="str">
        <x:v>R1</x:v>
      </x:c>
      <x:c r="B18" s="26" t="n">
        <x:v>46232.166666666664</x:v>
      </x:c>
      <x:c r="C18" s="25" t="n">
        <x:v>3</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c r="W18" t="str">
        <x:v>R1-014</x:v>
      </x:c>
    </x:row>
    <x:row r="19" ht="32" customHeight="1">
      <x:c r="A19" s="25" t="str">
        <x:v>R1</x:v>
      </x:c>
      <x:c r="B19" s="26" t="n">
        <x:v>46232.166666666664</x:v>
      </x:c>
      <x:c r="C19" s="25" t="n">
        <x:v>3</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c r="W19" t="str">
        <x:v>R1-015</x:v>
      </x:c>
    </x:row>
    <x:row r="20" ht="32" customHeight="1">
      <x:c r="A20" s="25" t="str">
        <x:v>R1</x:v>
      </x:c>
      <x:c r="B20" s="26" t="n">
        <x:v>46232.166666666664</x:v>
      </x:c>
      <x:c r="C20" s="25" t="n">
        <x:v>4</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c r="W20" t="str">
        <x:v>R1-016</x:v>
      </x:c>
    </x:row>
    <x:row r="21" ht="32" customHeight="1">
      <x:c r="A21" s="25" t="str">
        <x:v>R1</x:v>
      </x:c>
      <x:c r="B21" s="26" t="n">
        <x:v>46232.166666666664</x:v>
      </x:c>
      <x:c r="C21" s="25" t="n">
        <x:v>4</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c r="W21" t="str">
        <x:v>R1-017</x:v>
      </x:c>
    </x:row>
    <x:row r="22" ht="32" customHeight="1">
      <x:c r="A22" s="25" t="str">
        <x:v>R1</x:v>
      </x:c>
      <x:c r="B22" s="26" t="n">
        <x:v>46232.166666666664</x:v>
      </x:c>
      <x:c r="C22" s="25" t="n">
        <x:v>4</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c r="W22" t="str">
        <x:v>R1-018</x:v>
      </x:c>
    </x:row>
    <x:row r="23" ht="32" customHeight="1">
      <x:c r="A23" s="25" t="str">
        <x:v>R1</x:v>
      </x:c>
      <x:c r="B23" s="26" t="n">
        <x:v>46232.166666666664</x:v>
      </x:c>
      <x:c r="C23" s="25" t="n">
        <x:v>4</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c r="W23" t="str">
        <x:v>R1-019</x:v>
      </x:c>
    </x:row>
    <x:row r="24" ht="32" customHeight="1">
      <x:c r="A24" s="25" t="str">
        <x:v>R1</x:v>
      </x:c>
      <x:c r="B24" s="26" t="n">
        <x:v>46232.166666666664</x:v>
      </x:c>
      <x:c r="C24" s="25" t="n">
        <x:v>4</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c r="W24" t="str">
        <x:v>R1-020</x:v>
      </x:c>
    </x:row>
    <x:row r="25" ht="32" customHeight="1">
      <x:c r="A25" s="25" t="str">
        <x:v>R1</x:v>
      </x:c>
      <x:c r="B25" s="26" t="n">
        <x:v>46232.166666666664</x:v>
      </x:c>
      <x:c r="C25" s="25" t="n">
        <x:v>5</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c r="W25" t="str">
        <x:v>R1-021</x:v>
      </x:c>
    </x:row>
    <x:row r="26" ht="32" customHeight="1">
      <x:c r="A26" s="25" t="str">
        <x:v>R1</x:v>
      </x:c>
      <x:c r="B26" s="26" t="n">
        <x:v>46232.166666666664</x:v>
      </x:c>
      <x:c r="C26" s="25" t="n">
        <x:v>5</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c r="W26" t="str">
        <x:v>R1-022</x:v>
      </x:c>
    </x:row>
    <x:row r="27" ht="32" customHeight="1">
      <x:c r="A27" s="25" t="str">
        <x:v>R1</x:v>
      </x:c>
      <x:c r="B27" s="26" t="n">
        <x:v>46232.166666666664</x:v>
      </x:c>
      <x:c r="C27" s="25" t="n">
        <x:v>5</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c r="W27" t="str">
        <x:v>R1-023</x:v>
      </x:c>
    </x:row>
    <x:row r="28" ht="32" customHeight="1">
      <x:c r="A28" s="25" t="str">
        <x:v>R1</x:v>
      </x:c>
      <x:c r="B28" s="26" t="n">
        <x:v>46232.166666666664</x:v>
      </x:c>
      <x:c r="C28" s="25" t="n">
        <x:v>5</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c r="W28" t="str">
        <x:v>R1-024</x:v>
      </x:c>
    </x:row>
    <x:row r="29" ht="32" customHeight="1">
      <x:c r="A29" s="25" t="str">
        <x:v>R1</x:v>
      </x:c>
      <x:c r="B29" s="26" t="n">
        <x:v>46232.166666666664</x:v>
      </x:c>
      <x:c r="C29" s="25" t="n">
        <x:v>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c r="W29" t="str">
        <x:v>R1-025</x:v>
      </x:c>
    </x:row>
    <x:row r="30" ht="32" customHeight="1">
      <x:c r="A30" s="25" t="str">
        <x:v>R1</x:v>
      </x:c>
      <x:c r="B30" s="26" t="n">
        <x:v>46232.166666666664</x:v>
      </x:c>
      <x:c r="C30" s="25" t="n">
        <x:v>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c r="W30" t="str">
        <x:v>R1-026</x:v>
      </x:c>
    </x:row>
    <x:row r="31" ht="32" customHeight="1">
      <x:c r="A31" s="25" t="str">
        <x:v>R1</x:v>
      </x:c>
      <x:c r="B31" s="26" t="n">
        <x:v>46232.166666666664</x:v>
      </x:c>
      <x:c r="C31" s="25" t="n">
        <x:v>6</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c r="W31" t="str">
        <x:v>R1-027</x:v>
      </x:c>
    </x:row>
    <x:row r="32" ht="32" customHeight="1">
      <x:c r="A32" s="25" t="str">
        <x:v>R1</x:v>
      </x:c>
      <x:c r="B32" s="26" t="n">
        <x:v>46232.166666666664</x:v>
      </x:c>
      <x:c r="C32" s="25" t="n">
        <x:v>6</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c r="W32" t="str">
        <x:v>R1-028</x:v>
      </x:c>
    </x:row>
    <x:row r="33" ht="32" customHeight="1">
      <x:c r="A33" s="25" t="str">
        <x:v>R1</x:v>
      </x:c>
      <x:c r="B33" s="26" t="n">
        <x:v>46232.166666666664</x:v>
      </x:c>
      <x:c r="C33" s="25" t="n">
        <x:v>6</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c r="W33" t="str">
        <x:v>R1-029</x:v>
      </x:c>
    </x:row>
    <x:row r="34" ht="32" customHeight="1">
      <x:c r="A34" s="25" t="str">
        <x:v>R1</x:v>
      </x:c>
      <x:c r="B34" s="26" t="n">
        <x:v>46232.166666666664</x:v>
      </x:c>
      <x:c r="C34" s="25" t="n">
        <x:v>6</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c r="W34" t="str">
        <x:v>R1-030</x:v>
      </x:c>
    </x:row>
    <x:row r="35" ht="32" customHeight="1">
      <x:c r="A35" s="25" t="str">
        <x:v>R1</x:v>
      </x:c>
      <x:c r="B35" s="26" t="n">
        <x:v>46232.166666666664</x:v>
      </x:c>
      <x:c r="C35" s="25" t="n">
        <x:v>7</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c r="W35" t="str">
        <x:v>R1-031</x:v>
      </x:c>
    </x:row>
    <x:row r="36" ht="32" customHeight="1">
      <x:c r="A36" s="25" t="str">
        <x:v>R1</x:v>
      </x:c>
      <x:c r="B36" s="26" t="n">
        <x:v>46232.166666666664</x:v>
      </x:c>
      <x:c r="C36" s="25" t="n">
        <x:v>7</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c r="W36" t="str">
        <x:v>R1-032</x:v>
      </x:c>
    </x:row>
    <x:row r="37" ht="32" customHeight="1">
      <x:c r="A37" s="25" t="str">
        <x:v>R1</x:v>
      </x:c>
      <x:c r="B37" s="26" t="n">
        <x:v>46232.166666666664</x:v>
      </x:c>
      <x:c r="C37" s="25" t="n">
        <x:v>7</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c r="W37" t="str">
        <x:v>R1-033</x:v>
      </x:c>
    </x:row>
    <x:row r="38" ht="32" customHeight="1">
      <x:c r="A38" s="25" t="str">
        <x:v>R1</x:v>
      </x:c>
      <x:c r="B38" s="26" t="n">
        <x:v>46232.166666666664</x:v>
      </x:c>
      <x:c r="C38" s="25" t="n">
        <x:v>7</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c r="W38" t="str">
        <x:v>R1-034</x:v>
      </x:c>
    </x:row>
    <x:row r="39" ht="32" customHeight="1">
      <x:c r="A39" s="25" t="str">
        <x:v>R1</x:v>
      </x:c>
      <x:c r="B39" s="26" t="n">
        <x:v>46232.166666666664</x:v>
      </x:c>
      <x:c r="C39" s="25" t="n">
        <x:v>7</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c r="W39" t="str">
        <x:v>R1-035</x:v>
      </x:c>
    </x:row>
    <x:row r="40" ht="32" customHeight="1">
      <x:c r="A40" s="25" t="str">
        <x:v>R1</x:v>
      </x:c>
      <x:c r="B40" s="26" t="n">
        <x:v>46232.166666666664</x:v>
      </x:c>
      <x:c r="C40" s="25" t="n">
        <x:v>8</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c r="W40" t="str">
        <x:v>R1-036</x:v>
      </x:c>
    </x:row>
    <x:row r="41" ht="32" customHeight="1">
      <x:c r="A41" s="25" t="str">
        <x:v>R1</x:v>
      </x:c>
      <x:c r="B41" s="26" t="n">
        <x:v>46232.166666666664</x:v>
      </x:c>
      <x:c r="C41" s="25" t="n">
        <x:v>8</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c r="W41" t="str">
        <x:v>R1-037</x:v>
      </x:c>
    </x:row>
    <x:row r="42" ht="32" customHeight="1">
      <x:c r="A42" s="25" t="str">
        <x:v>R1</x:v>
      </x:c>
      <x:c r="B42" s="26" t="n">
        <x:v>46232.166666666664</x:v>
      </x:c>
      <x:c r="C42" s="25" t="n">
        <x:v>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c r="W42" t="str">
        <x:v>R1-038</x:v>
      </x:c>
    </x:row>
    <x:row r="43" ht="32" customHeight="1">
      <x:c r="A43" s="25" t="str">
        <x:v>R1</x:v>
      </x:c>
      <x:c r="B43" s="26" t="n">
        <x:v>46232.166666666664</x:v>
      </x:c>
      <x:c r="C43" s="25" t="n">
        <x:v>8</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c r="W43" t="str">
        <x:v>R1-039</x:v>
      </x:c>
    </x:row>
    <x:row r="44" ht="32" customHeight="1">
      <x:c r="A44" s="25" t="str">
        <x:v>R1</x:v>
      </x:c>
      <x:c r="B44" s="26" t="n">
        <x:v>46232.166666666664</x:v>
      </x:c>
      <x:c r="C44" s="25" t="n">
        <x:v>8</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c r="W44" t="str">
        <x:v>R1-040</x:v>
      </x:c>
    </x:row>
    <x:row r="45" ht="32" customHeight="1">
      <x:c r="A45" s="25" t="str">
        <x:v>R1</x:v>
      </x:c>
      <x:c r="B45" s="26" t="n">
        <x:v>46232.166666666664</x:v>
      </x:c>
      <x:c r="C45" s="25" t="n">
        <x:v>9</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c r="W45" t="str">
        <x:v>R1-041</x:v>
      </x:c>
    </x:row>
    <x:row r="46" ht="32" customHeight="1">
      <x:c r="A46" s="25" t="str">
        <x:v>R1</x:v>
      </x:c>
      <x:c r="B46" s="26" t="n">
        <x:v>46232.166666666664</x:v>
      </x:c>
      <x:c r="C46" s="25" t="n">
        <x:v>9</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c r="W46" t="str">
        <x:v>R1-042</x:v>
      </x:c>
    </x:row>
    <x:row r="47" ht="32" customHeight="1">
      <x:c r="A47" s="25" t="str">
        <x:v>R1</x:v>
      </x:c>
      <x:c r="B47" s="26" t="n">
        <x:v>46232.166666666664</x:v>
      </x:c>
      <x:c r="C47" s="25" t="n">
        <x:v>9</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c r="W47" t="str">
        <x:v>R1-043</x:v>
      </x:c>
    </x:row>
    <x:row r="48" ht="32" customHeight="1">
      <x:c r="A48" s="25" t="str">
        <x:v>R1</x:v>
      </x:c>
      <x:c r="B48" s="26" t="n">
        <x:v>46232.166666666664</x:v>
      </x:c>
      <x:c r="C48" s="25" t="n">
        <x:v>9</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c r="W48" t="str">
        <x:v>R1-044</x:v>
      </x:c>
    </x:row>
    <x:row r="49" ht="32" customHeight="1">
      <x:c r="A49" s="25" t="str">
        <x:v>R1</x:v>
      </x:c>
      <x:c r="B49" s="26" t="n">
        <x:v>46232.166666666664</x:v>
      </x:c>
      <x:c r="C49" s="25" t="n">
        <x:v>9</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c r="W49" t="str">
        <x:v>R1-045</x:v>
      </x:c>
    </x:row>
    <x:row r="50" ht="32" customHeight="1">
      <x:c r="A50" s="25" t="str">
        <x:v>R1</x:v>
      </x:c>
      <x:c r="B50" s="26" t="n">
        <x:v>46232.166666666664</x:v>
      </x:c>
      <x:c r="C50" s="25" t="n">
        <x:v>10</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c r="W50" t="str">
        <x:v>R1-046</x:v>
      </x:c>
    </x:row>
    <x:row r="51" ht="32" customHeight="1">
      <x:c r="A51" s="25" t="str">
        <x:v>R1</x:v>
      </x:c>
      <x:c r="B51" s="26" t="n">
        <x:v>46232.166666666664</x:v>
      </x:c>
      <x:c r="C51" s="25" t="n">
        <x:v>10</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c r="W51" t="str">
        <x:v>R1-047</x:v>
      </x:c>
    </x:row>
    <x:row r="52" ht="32" customHeight="1">
      <x:c r="A52" s="25" t="str">
        <x:v>R1</x:v>
      </x:c>
      <x:c r="B52" s="26" t="n">
        <x:v>46232.166666666664</x:v>
      </x:c>
      <x:c r="C52" s="25" t="n">
        <x:v>10</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c r="W52" t="str">
        <x:v>R1-048</x:v>
      </x:c>
    </x:row>
    <x:row r="53" ht="32" customHeight="1">
      <x:c r="A53" s="25" t="str">
        <x:v>R1</x:v>
      </x:c>
      <x:c r="B53" s="26" t="n">
        <x:v>46232.166666666664</x:v>
      </x:c>
      <x:c r="C53" s="25" t="n">
        <x:v>10</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c r="W53" t="str">
        <x:v>R1-049</x:v>
      </x:c>
    </x:row>
    <x:row r="54" ht="32" customHeight="1">
      <x:c r="A54" s="25" t="str">
        <x:v>R1</x:v>
      </x:c>
      <x:c r="B54" s="26" t="n">
        <x:v>46232.166666666664</x:v>
      </x:c>
      <x:c r="C54" s="25" t="n">
        <x:v>10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c r="W54" t="str">
        <x:v>R1-050</x:v>
      </x:c>
    </x:row>
    <x:row r="55" ht="32" customHeight="1">
      <x:c r="A55" s="25" t="str">
        <x:v>R1</x:v>
      </x:c>
      <x:c r="B55" s="26" t="n">
        <x:v>46232.166666666664</x:v>
      </x:c>
      <x:c r="C55" s="25" t="n">
        <x:v>11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c r="W55" t="str">
        <x:v>R1-051</x:v>
      </x:c>
    </x:row>
    <x:row r="56" ht="32" customHeight="1">
      <x:c r="A56" s="25" t="str">
        <x:v>R1</x:v>
      </x:c>
      <x:c r="B56" s="26" t="n">
        <x:v>46232.166666666664</x:v>
      </x:c>
      <x:c r="C56" s="25" t="n">
        <x:v>11</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c r="W56" t="str">
        <x:v>R1-052</x:v>
      </x:c>
    </x:row>
    <x:row r="57" ht="32" customHeight="1">
      <x:c r="A57" s="25" t="str">
        <x:v>R1</x:v>
      </x:c>
      <x:c r="B57" s="26" t="n">
        <x:v>46232.166666666664</x:v>
      </x:c>
      <x:c r="C57" s="25" t="n">
        <x:v>11</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c r="W57" t="str">
        <x:v>R1-053</x:v>
      </x:c>
    </x:row>
    <x:row r="58" ht="32" customHeight="1">
      <x:c r="A58" s="25" t="str">
        <x:v>R1</x:v>
      </x:c>
      <x:c r="B58" s="26" t="n">
        <x:v>46232.166666666664</x:v>
      </x:c>
      <x:c r="C58" s="25" t="n">
        <x:v>11</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c r="W58" t="str">
        <x:v>R1-054</x:v>
      </x:c>
    </x:row>
    <x:row r="59" ht="32" customHeight="1">
      <x:c r="A59" s="25" t="str">
        <x:v>R1</x:v>
      </x:c>
      <x:c r="B59" s="26" t="n">
        <x:v>46232.166666666664</x:v>
      </x:c>
      <x:c r="C59" s="25" t="n">
        <x:v>11</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c r="W59" t="str">
        <x:v>R1-055</x:v>
      </x:c>
    </x:row>
    <x:row r="60" ht="32" customHeight="1">
      <x:c r="A60" s="25" t="str">
        <x:v>R1</x:v>
      </x:c>
      <x:c r="B60" s="26" t="n">
        <x:v>46232.166666666664</x:v>
      </x:c>
      <x:c r="C60" s="25" t="n">
        <x:v>12</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c r="W60" t="str">
        <x:v>R1-056</x:v>
      </x:c>
    </x:row>
    <x:row r="61" ht="32" customHeight="1">
      <x:c r="A61" s="25" t="str">
        <x:v>R1</x:v>
      </x:c>
      <x:c r="B61" s="26" t="n">
        <x:v>46232.166666666664</x:v>
      </x:c>
      <x:c r="C61" s="25" t="n">
        <x:v>12</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c r="W61" t="str">
        <x:v>R1-057</x:v>
      </x:c>
    </x:row>
    <x:row r="62" ht="32" customHeight="1">
      <x:c r="A62" s="25" t="str">
        <x:v>R1</x:v>
      </x:c>
      <x:c r="B62" s="26" t="n">
        <x:v>46232.166666666664</x:v>
      </x:c>
      <x:c r="C62" s="25" t="n">
        <x:v>12</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c r="W62" t="str">
        <x:v>R1-058</x:v>
      </x:c>
    </x:row>
    <x:row r="63" ht="32" customHeight="1">
      <x:c r="A63" s="25" t="str">
        <x:v>R1</x:v>
      </x:c>
      <x:c r="B63" s="26" t="n">
        <x:v>46232.166666666664</x:v>
      </x:c>
      <x:c r="C63" s="25" t="n">
        <x:v>12</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c r="W63" t="str">
        <x:v>R1-059</x:v>
      </x:c>
    </x:row>
    <x:row r="64" ht="32" customHeight="1">
      <x:c r="A64" s="25" t="str">
        <x:v>R1</x:v>
      </x:c>
      <x:c r="B64" s="26" t="n">
        <x:v>46232.166666666664</x:v>
      </x:c>
      <x:c r="C64" s="25" t="n">
        <x:v>12</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c r="W64" t="str">
        <x:v>R1-060</x:v>
      </x:c>
    </x:row>
    <x:row r="65" ht="32" customHeight="1">
      <x:c r="A65" s="25" t="str">
        <x:v>R1</x:v>
      </x:c>
      <x:c r="B65" s="26" t="n">
        <x:v>46232.166666666664</x:v>
      </x:c>
      <x:c r="C65" s="25" t="n">
        <x:v>13</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c r="W65" t="str">
        <x:v>R1-061</x:v>
      </x:c>
    </x:row>
    <x:row r="66" ht="32" customHeight="1">
      <x:c r="A66" s="25" t="str">
        <x:v>R1</x:v>
      </x:c>
      <x:c r="B66" s="26" t="n">
        <x:v>46232.166666666664</x:v>
      </x:c>
      <x:c r="C66" s="25" t="n">
        <x:v>13</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c r="W66" t="str">
        <x:v>R1-062</x:v>
      </x:c>
    </x:row>
    <x:row r="67" ht="32" customHeight="1">
      <x:c r="A67" s="25" t="str">
        <x:v>R1</x:v>
      </x:c>
      <x:c r="B67" s="26" t="n">
        <x:v>46232.166666666664</x:v>
      </x:c>
      <x:c r="C67" s="25" t="n">
        <x:v>13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c r="W67" t="str">
        <x:v>R1-063</x:v>
      </x:c>
    </x:row>
    <x:row r="68" ht="32" customHeight="1">
      <x:c r="A68" s="25" t="str">
        <x:v>R1</x:v>
      </x:c>
      <x:c r="B68" s="26" t="n">
        <x:v>46232.166666666664</x:v>
      </x:c>
      <x:c r="C68" s="25" t="n">
        <x:v>13</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c r="W68" t="str">
        <x:v>R1-064</x:v>
      </x:c>
    </x:row>
    <x:row r="69" ht="32" customHeight="1">
      <x:c r="A69" s="25" t="str">
        <x:v>R1</x:v>
      </x:c>
      <x:c r="B69" s="26" t="n">
        <x:v>46232.166666666664</x:v>
      </x:c>
      <x:c r="C69" s="25" t="n">
        <x:v>13</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c r="W69" t="str">
        <x:v>R1-065</x:v>
      </x:c>
    </x:row>
    <x:row r="70" ht="32" customHeight="1">
      <x:c r="A70" s="25" t="str">
        <x:v>R1</x:v>
      </x:c>
      <x:c r="B70" s="26" t="n">
        <x:v>46232.166666666664</x:v>
      </x:c>
      <x:c r="C70" s="25" t="n">
        <x:v>14</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c r="W70" t="str">
        <x:v>R1-066</x:v>
      </x:c>
    </x:row>
    <x:row r="71" ht="32" customHeight="1">
      <x:c r="A71" s="25" t="str">
        <x:v>R1</x:v>
      </x:c>
      <x:c r="B71" s="26" t="n">
        <x:v>46232.166666666664</x:v>
      </x:c>
      <x:c r="C71" s="25" t="n">
        <x:v>14</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c r="W71" t="str">
        <x:v>R1-067</x:v>
      </x:c>
    </x:row>
    <x:row r="72" ht="32" customHeight="1">
      <x:c r="A72" s="25" t="str">
        <x:v>R1</x:v>
      </x:c>
      <x:c r="B72" s="26" t="n">
        <x:v>46232.166666666664</x:v>
      </x:c>
      <x:c r="C72" s="25" t="n">
        <x:v>14</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c r="W72" t="str">
        <x:v>R1-068</x:v>
      </x:c>
    </x:row>
    <x:row r="73" ht="32" customHeight="1">
      <x:c r="A73" s="25" t="str">
        <x:v>R1</x:v>
      </x:c>
      <x:c r="B73" s="26" t="n">
        <x:v>46232.166666666664</x:v>
      </x:c>
      <x:c r="C73" s="25" t="n">
        <x:v>14</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c r="W73" t="str">
        <x:v>R1-069</x:v>
      </x:c>
    </x:row>
    <x:row r="74" ht="32" customHeight="1">
      <x:c r="A74" s="25" t="str">
        <x:v>R1</x:v>
      </x:c>
      <x:c r="B74" s="26" t="n">
        <x:v>46232.166666666664</x:v>
      </x:c>
      <x:c r="C74" s="25" t="n">
        <x:v>14</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c r="W74" t="str">
        <x:v>R1-070</x:v>
      </x:c>
    </x:row>
    <x:row r="75" ht="32" customHeight="1">
      <x:c r="A75" s="25" t="str">
        <x:v>R1</x:v>
      </x:c>
      <x:c r="B75" s="26" t="n">
        <x:v>46232.166666666664</x:v>
      </x:c>
      <x:c r="C75" s="25" t="n">
        <x:v>15</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c r="W75" t="str">
        <x:v>R1-071</x:v>
      </x:c>
    </x:row>
    <x:row r="76" ht="32" customHeight="1">
      <x:c r="A76" s="25" t="str">
        <x:v>R1</x:v>
      </x:c>
      <x:c r="B76" s="26" t="n">
        <x:v>46232.166666666664</x:v>
      </x:c>
      <x:c r="C76" s="25" t="n">
        <x:v>15</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c r="W76" t="str">
        <x:v>R1-072</x:v>
      </x:c>
    </x:row>
    <x:row r="77" ht="32" customHeight="1">
      <x:c r="A77" s="25" t="str">
        <x:v>R1</x:v>
      </x:c>
      <x:c r="B77" s="26" t="n">
        <x:v>46232.166666666664</x:v>
      </x:c>
      <x:c r="C77" s="25" t="n">
        <x:v>15</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c r="W77" t="str">
        <x:v>R1-073</x:v>
      </x:c>
    </x:row>
    <x:row r="78" ht="32" customHeight="1">
      <x:c r="A78" s="25" t="str">
        <x:v>R1</x:v>
      </x:c>
      <x:c r="B78" s="26" t="n">
        <x:v>46232.166666666664</x:v>
      </x:c>
      <x:c r="C78" s="25" t="n">
        <x:v>15</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c r="W78" t="str">
        <x:v>R1-074</x:v>
      </x:c>
    </x:row>
    <x:row r="79" ht="32" customHeight="1">
      <x:c r="A79" s="25" t="str">
        <x:v>R1</x:v>
      </x:c>
      <x:c r="B79" s="26" t="n">
        <x:v>46232.166666666664</x:v>
      </x:c>
      <x:c r="C79" s="25" t="n">
        <x:v>15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c r="W79" t="str">
        <x:v>R1-075</x:v>
      </x:c>
    </x:row>
    <x:row r="80" ht="32" customHeight="1">
      <x:c r="A80" s="25" t="str">
        <x:v>R1</x:v>
      </x:c>
      <x:c r="B80" s="26" t="n">
        <x:v>46232.166666666664</x:v>
      </x:c>
      <x:c r="C80" s="25" t="n">
        <x:v>16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c r="W80" t="str">
        <x:v>R1-076</x:v>
      </x:c>
    </x:row>
    <x:row r="81" ht="32" customHeight="1">
      <x:c r="A81" s="25" t="str">
        <x:v>R1</x:v>
      </x:c>
      <x:c r="B81" s="26" t="n">
        <x:v>46232.166666666664</x:v>
      </x:c>
      <x:c r="C81" s="25" t="n">
        <x:v>16</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c r="W81" t="str">
        <x:v>R1-077</x:v>
      </x:c>
    </x:row>
    <x:row r="82" ht="32" customHeight="1">
      <x:c r="A82" s="25" t="str">
        <x:v>R1</x:v>
      </x:c>
      <x:c r="B82" s="26" t="n">
        <x:v>46232.166666666664</x:v>
      </x:c>
      <x:c r="C82" s="25" t="n">
        <x:v>16</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c r="W82" t="str">
        <x:v>R1-078</x:v>
      </x:c>
    </x:row>
    <x:row r="83" ht="32" customHeight="1">
      <x:c r="A83" s="25" t="str">
        <x:v>R1</x:v>
      </x:c>
      <x:c r="B83" s="26" t="n">
        <x:v>46232.166666666664</x:v>
      </x:c>
      <x:c r="C83" s="25" t="n">
        <x:v>16</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c r="W83" t="str">
        <x:v>R1-079</x:v>
      </x:c>
    </x:row>
    <x:row r="84" ht="32" customHeight="1">
      <x:c r="A84" s="25" t="str">
        <x:v>R1</x:v>
      </x:c>
      <x:c r="B84" s="26" t="n">
        <x:v>46232.166666666664</x:v>
      </x:c>
      <x:c r="C84" s="25" t="n">
        <x:v>16</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c r="W84" t="str">
        <x:v>R1-080</x:v>
      </x:c>
    </x:row>
    <x:row r="85" ht="32" customHeight="1">
      <x:c r="A85" s="25" t="str">
        <x:v>R1</x:v>
      </x:c>
      <x:c r="B85" s="26" t="n">
        <x:v>46232.166666666664</x:v>
      </x:c>
      <x:c r="C85" s="25" t="n">
        <x:v>17</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c r="W85" t="str">
        <x:v>R1-081</x:v>
      </x:c>
    </x:row>
    <x:row r="86" ht="32" customHeight="1">
      <x:c r="A86" s="25" t="str">
        <x:v>R1</x:v>
      </x:c>
      <x:c r="B86" s="26" t="n">
        <x:v>46232.166666666664</x:v>
      </x:c>
      <x:c r="C86" s="25" t="n">
        <x:v>17</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c r="W86" t="str">
        <x:v>R1-082</x:v>
      </x:c>
    </x:row>
    <x:row r="87" ht="32" customHeight="1">
      <x:c r="A87" s="25" t="str">
        <x:v>R1</x:v>
      </x:c>
      <x:c r="B87" s="26" t="n">
        <x:v>46232.166666666664</x:v>
      </x:c>
      <x:c r="C87" s="25" t="n">
        <x:v>17</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c r="W87" t="str">
        <x:v>R1-083</x:v>
      </x:c>
    </x:row>
    <x:row r="88" ht="32" customHeight="1">
      <x:c r="A88" s="25" t="str">
        <x:v>R1</x:v>
      </x:c>
      <x:c r="B88" s="26" t="n">
        <x:v>46232.166666666664</x:v>
      </x:c>
      <x:c r="C88" s="25" t="n">
        <x:v>17</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c r="W88" t="str">
        <x:v>R1-084</x:v>
      </x:c>
    </x:row>
    <x:row r="89" ht="32" customHeight="1">
      <x:c r="A89" s="25" t="str">
        <x:v>R1</x:v>
      </x:c>
      <x:c r="B89" s="26" t="n">
        <x:v>46232.166666666664</x:v>
      </x:c>
      <x:c r="C89" s="25" t="n">
        <x:v>17</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c r="W89" t="str">
        <x:v>R1-085</x:v>
      </x:c>
    </x:row>
    <x:row r="90" ht="32" customHeight="1">
      <x:c r="A90" s="25" t="str">
        <x:v>R1</x:v>
      </x:c>
      <x:c r="B90" s="26" t="n">
        <x:v>46232.166666666664</x:v>
      </x:c>
      <x:c r="C90" s="25" t="n">
        <x:v>18</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c r="W90" t="str">
        <x:v>R1-086</x:v>
      </x:c>
    </x:row>
    <x:row r="91" ht="32" customHeight="1">
      <x:c r="A91" s="25" t="str">
        <x:v>R1</x:v>
      </x:c>
      <x:c r="B91" s="26" t="n">
        <x:v>46232.166666666664</x:v>
      </x:c>
      <x:c r="C91" s="25" t="n">
        <x:v>18</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c r="W91" t="str">
        <x:v>R1-087</x:v>
      </x:c>
    </x:row>
    <x:row r="92" ht="32" customHeight="1">
      <x:c r="A92" s="25" t="str">
        <x:v>R1</x:v>
      </x:c>
      <x:c r="B92" s="26" t="n">
        <x:v>46232.166666666664</x:v>
      </x:c>
      <x:c r="C92" s="25" t="n">
        <x:v>18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c r="W92" t="str">
        <x:v>R1-088</x:v>
      </x:c>
    </x:row>
    <x:row r="93" ht="32" customHeight="1">
      <x:c r="A93" s="25" t="str">
        <x:v>R1</x:v>
      </x:c>
      <x:c r="B93" s="26" t="n">
        <x:v>46232.166666666664</x:v>
      </x:c>
      <x:c r="C93" s="25" t="n">
        <x:v>18</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c r="W93" t="str">
        <x:v>R1-089</x:v>
      </x:c>
    </x:row>
    <x:row r="94" ht="32" customHeight="1">
      <x:c r="A94" s="25" t="str">
        <x:v>R1</x:v>
      </x:c>
      <x:c r="B94" s="26" t="n">
        <x:v>46232.166666666664</x:v>
      </x:c>
      <x:c r="C94" s="25" t="n">
        <x:v>18</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c r="W94" t="str">
        <x:v>R1-090</x:v>
      </x:c>
    </x:row>
    <x:row r="95" ht="32" customHeight="1">
      <x:c r="A95" s="25" t="str">
        <x:v>R1</x:v>
      </x:c>
      <x:c r="B95" s="26" t="n">
        <x:v>46232.166666666664</x:v>
      </x:c>
      <x:c r="C95" s="25" t="n">
        <x:v>19</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c r="W95" t="str">
        <x:v>R1-091</x:v>
      </x:c>
    </x:row>
    <x:row r="96" ht="32" customHeight="1">
      <x:c r="A96" s="25" t="str">
        <x:v>R1</x:v>
      </x:c>
      <x:c r="B96" s="26" t="n">
        <x:v>46232.166666666664</x:v>
      </x:c>
      <x:c r="C96" s="25" t="n">
        <x:v>19</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c r="W96" t="str">
        <x:v>R1-092</x:v>
      </x:c>
    </x:row>
    <x:row r="97" ht="32" customHeight="1">
      <x:c r="A97" s="25" t="str">
        <x:v>R1</x:v>
      </x:c>
      <x:c r="B97" s="26" t="n">
        <x:v>46232.166666666664</x:v>
      </x:c>
      <x:c r="C97" s="25" t="n">
        <x:v>19</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c r="W97" t="str">
        <x:v>R1-093</x:v>
      </x:c>
    </x:row>
    <x:row r="98" ht="32" customHeight="1">
      <x:c r="A98" s="25" t="str">
        <x:v>R1</x:v>
      </x:c>
      <x:c r="B98" s="26" t="n">
        <x:v>46232.166666666664</x:v>
      </x:c>
      <x:c r="C98" s="25" t="n">
        <x:v>19</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c r="W98" t="str">
        <x:v>R1-094</x:v>
      </x:c>
    </x:row>
    <x:row r="99" ht="32" customHeight="1">
      <x:c r="A99" s="25" t="str">
        <x:v>R1</x:v>
      </x:c>
      <x:c r="B99" s="26" t="n">
        <x:v>46232.166666666664</x:v>
      </x:c>
      <x:c r="C99" s="25" t="n">
        <x:v>19</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c r="W99" t="str">
        <x:v>R1-095</x:v>
      </x:c>
    </x:row>
    <x:row r="100" ht="32" customHeight="1">
      <x:c r="A100" s="25" t="str">
        <x:v>R1</x:v>
      </x:c>
      <x:c r="B100" s="26" t="n">
        <x:v>46232.166666666664</x:v>
      </x:c>
      <x:c r="C100" s="25" t="n">
        <x:v>20</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c r="W100" t="str">
        <x:v>R1-096</x:v>
      </x:c>
    </x:row>
    <x:row r="101" ht="32" customHeight="1">
      <x:c r="A101" s="25" t="str">
        <x:v>R1</x:v>
      </x:c>
      <x:c r="B101" s="26" t="n">
        <x:v>46232.166666666664</x:v>
      </x:c>
      <x:c r="C101" s="25" t="n">
        <x:v>20</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c r="W101" t="str">
        <x:v>R1-097</x:v>
      </x:c>
    </x:row>
    <x:row r="102" ht="32" customHeight="1">
      <x:c r="A102" s="25" t="str">
        <x:v>R1</x:v>
      </x:c>
      <x:c r="B102" s="26" t="n">
        <x:v>46232.166666666664</x:v>
      </x:c>
      <x:c r="C102" s="25" t="n">
        <x:v>20</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c r="W102" t="str">
        <x:v>R1-098</x:v>
      </x:c>
    </x:row>
    <x:row r="103" ht="32" customHeight="1">
      <x:c r="A103" s="25" t="str">
        <x:v>R1</x:v>
      </x:c>
      <x:c r="B103" s="26" t="n">
        <x:v>46232.166666666664</x:v>
      </x:c>
      <x:c r="C103" s="25" t="n">
        <x:v>20</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c r="W103" t="str">
        <x:v>R1-099</x:v>
      </x:c>
    </x:row>
    <x:row r="104" ht="32" customHeight="1">
      <x:c r="A104" s="25" t="str">
        <x:v>R1</x:v>
      </x:c>
      <x:c r="B104" s="26" t="n">
        <x:v>46232.166666666664</x:v>
      </x:c>
      <x:c r="C104" s="25" t="n">
        <x:v>21</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c r="W104" t="str">
        <x:v>R1-100</x:v>
      </x:c>
    </x:row>
    <x:row r="105" ht="32" customHeight="1">
      <x:c r="A105" s="25" t="str">
        <x:v>R1</x:v>
      </x:c>
      <x:c r="B105" s="26" t="n">
        <x:v>46232.166666666664</x:v>
      </x:c>
      <x:c r="C105" s="25" t="n">
        <x:v>21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c r="W105" t="str">
        <x:v>R1-101</x:v>
      </x:c>
    </x:row>
    <x:row r="106" ht="32" customHeight="1">
      <x:c r="A106" s="25" t="str">
        <x:v>R1</x:v>
      </x:c>
      <x:c r="B106" s="26" t="n">
        <x:v>46232.166666666664</x:v>
      </x:c>
      <x:c r="C106" s="25" t="n">
        <x:v>21</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c r="W106" t="str">
        <x:v>R1-102</x:v>
      </x:c>
    </x:row>
    <x:row r="107" ht="32" customHeight="1">
      <x:c r="A107" s="25" t="str">
        <x:v>R1</x:v>
      </x:c>
      <x:c r="B107" s="26" t="n">
        <x:v>46232.166666666664</x:v>
      </x:c>
      <x:c r="C107" s="25" t="n">
        <x:v>21</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c r="W107" t="str">
        <x:v>R1-103</x:v>
      </x:c>
    </x:row>
    <x:row r="108" ht="32" customHeight="1">
      <x:c r="A108" s="25" t="str">
        <x:v>R1</x:v>
      </x:c>
      <x:c r="B108" s="26" t="n">
        <x:v>46232.166666666664</x:v>
      </x:c>
      <x:c r="C108" s="25" t="n">
        <x:v>21</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c r="W108" t="str">
        <x:v>R1-104</x:v>
      </x:c>
    </x:row>
    <x:row r="109" ht="32" customHeight="1">
      <x:c r="A109" s="25" t="str">
        <x:v>R1</x:v>
      </x:c>
      <x:c r="B109" s="26" t="n">
        <x:v>46232.166666666664</x:v>
      </x:c>
      <x:c r="C109" s="25" t="n">
        <x:v>22</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c r="W109" t="str">
        <x:v>R1-105</x:v>
      </x:c>
    </x:row>
    <x:row r="110" ht="32" customHeight="1">
      <x:c r="A110" s="25" t="str">
        <x:v>R1</x:v>
      </x:c>
      <x:c r="B110" s="26" t="n">
        <x:v>46232.166666666664</x:v>
      </x:c>
      <x:c r="C110" s="25" t="n">
        <x:v>22</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c r="W110" t="str">
        <x:v>R1-106</x:v>
      </x:c>
    </x:row>
    <x:row r="111" ht="32" customHeight="1">
      <x:c r="A111" s="25" t="str">
        <x:v>R1</x:v>
      </x:c>
      <x:c r="B111" s="26" t="n">
        <x:v>46232.166666666664</x:v>
      </x:c>
      <x:c r="C111" s="25" t="n">
        <x:v>22</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c r="W111" t="str">
        <x:v>R1-107</x:v>
      </x:c>
    </x:row>
    <x:row r="112" ht="32" customHeight="1">
      <x:c r="A112" s="25" t="str">
        <x:v>R1</x:v>
      </x:c>
      <x:c r="B112" s="26" t="n">
        <x:v>46232.166666666664</x:v>
      </x:c>
      <x:c r="C112" s="25" t="n">
        <x:v>22</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c r="W112" t="str">
        <x:v>R1-108</x:v>
      </x:c>
    </x:row>
    <x:row r="113" ht="32" customHeight="1">
      <x:c r="A113" s="25" t="str">
        <x:v>R1</x:v>
      </x:c>
      <x:c r="B113" s="26" t="n">
        <x:v>46232.166666666664</x:v>
      </x:c>
      <x:c r="C113" s="25" t="n">
        <x:v>22</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c r="W113" t="str">
        <x:v>R1-109</x:v>
      </x:c>
    </x:row>
    <x:row r="114" ht="32" customHeight="1">
      <x:c r="A114" s="25" t="str">
        <x:v>R1</x:v>
      </x:c>
      <x:c r="B114" s="26" t="n">
        <x:v>46232.166666666664</x:v>
      </x:c>
      <x:c r="C114" s="25" t="n">
        <x:v>23</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c r="W114" t="str">
        <x:v>R1-110</x:v>
      </x:c>
    </x:row>
    <x:row r="115" ht="32" customHeight="1">
      <x:c r="A115" s="25" t="str">
        <x:v>R1</x:v>
      </x:c>
      <x:c r="B115" s="26" t="n">
        <x:v>46232.166666666664</x:v>
      </x:c>
      <x:c r="C115" s="25" t="n">
        <x:v>23</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c r="W115" t="str">
        <x:v>R1-111</x:v>
      </x:c>
    </x:row>
    <x:row r="116" ht="32" customHeight="1">
      <x:c r="A116" s="25" t="str">
        <x:v>R1</x:v>
      </x:c>
      <x:c r="B116" s="26" t="n">
        <x:v>46232.166666666664</x:v>
      </x:c>
      <x:c r="C116" s="25" t="n">
        <x:v>23</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c r="W116" t="str">
        <x:v>R1-112</x:v>
      </x:c>
    </x:row>
    <x:row r="117" ht="32" customHeight="1">
      <x:c r="A117" s="25" t="str">
        <x:v>R1</x:v>
      </x:c>
      <x:c r="B117" s="26" t="n">
        <x:v>46232.166666666664</x:v>
      </x:c>
      <x:c r="C117" s="25" t="n">
        <x:v>23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c r="W117" t="str">
        <x:v>R1-113</x:v>
      </x:c>
    </x:row>
    <x:row r="118" ht="32" customHeight="1">
      <x:c r="A118" s="25" t="str">
        <x:v>R1</x:v>
      </x:c>
      <x:c r="B118" s="26" t="n">
        <x:v>46232.166666666664</x:v>
      </x:c>
      <x:c r="C118" s="25" t="n">
        <x:v>23</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c r="W118" t="str">
        <x:v>R1-114</x:v>
      </x:c>
    </x:row>
    <x:row r="119" ht="32" customHeight="1">
      <x:c r="A119" s="25" t="str">
        <x:v>R1</x:v>
      </x:c>
      <x:c r="B119" s="26" t="n">
        <x:v>46232.166666666664</x:v>
      </x:c>
      <x:c r="C119" s="25" t="n">
        <x:v>24</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c r="W119" t="str">
        <x:v>R1-115</x:v>
      </x:c>
    </x:row>
    <x:row r="120" ht="32" customHeight="1">
      <x:c r="A120" s="25" t="str">
        <x:v>R1</x:v>
      </x:c>
      <x:c r="B120" s="26" t="n">
        <x:v>46232.166666666664</x:v>
      </x:c>
      <x:c r="C120" s="25" t="n">
        <x:v>24</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c r="W120" t="str">
        <x:v>R1-116</x:v>
      </x:c>
    </x:row>
    <x:row r="121" ht="32" customHeight="1">
      <x:c r="A121" s="25" t="str">
        <x:v>R1</x:v>
      </x:c>
      <x:c r="B121" s="26" t="n">
        <x:v>46232.166666666664</x:v>
      </x:c>
      <x:c r="C121" s="25" t="n">
        <x:v>24</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c r="W121" t="str">
        <x:v>R1-117</x:v>
      </x:c>
    </x:row>
    <x:row r="122" ht="32" customHeight="1">
      <x:c r="A122" s="25" t="str">
        <x:v>R1</x:v>
      </x:c>
      <x:c r="B122" s="26" t="n">
        <x:v>46232.166666666664</x:v>
      </x:c>
      <x:c r="C122" s="25" t="n">
        <x:v>24</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c r="W122" t="str">
        <x:v>R1-118</x:v>
      </x:c>
    </x:row>
    <x:row r="123" ht="32" customHeight="1">
      <x:c r="A123" s="25" t="str">
        <x:v>R1</x:v>
      </x:c>
      <x:c r="B123" s="26" t="n">
        <x:v>46232.166666666664</x:v>
      </x:c>
      <x:c r="C123" s="25" t="n">
        <x:v>24</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c r="W123" t="str">
        <x:v>R1-119</x:v>
      </x:c>
    </x:row>
    <x:row r="124" ht="32" customHeight="1">
      <x:c r="A124" s="25" t="str">
        <x:v>R1</x:v>
      </x:c>
      <x:c r="B124" s="26" t="n">
        <x:v>46232.166666666664</x:v>
      </x:c>
      <x:c r="C124" s="25" t="n">
        <x:v>25</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c r="W124" t="str">
        <x:v>R1-120</x:v>
      </x:c>
    </x:row>
    <x:row r="125" ht="32" customHeight="1">
      <x:c r="A125" s="25" t="str">
        <x:v>R1</x:v>
      </x:c>
      <x:c r="B125" s="26" t="n">
        <x:v>46232.166666666664</x:v>
      </x:c>
      <x:c r="C125" s="25" t="n">
        <x:v>25</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c r="W125" t="str">
        <x:v>R1-121</x:v>
      </x:c>
    </x:row>
    <x:row r="126" ht="32" customHeight="1">
      <x:c r="A126" s="25" t="str">
        <x:v>R1</x:v>
      </x:c>
      <x:c r="B126" s="26" t="n">
        <x:v>46232.166666666664</x:v>
      </x:c>
      <x:c r="C126" s="25" t="n">
        <x:v>25</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c r="W126" t="str">
        <x:v>R1-122</x:v>
      </x:c>
    </x:row>
    <x:row r="127" ht="32" customHeight="1">
      <x:c r="A127" s="25" t="str">
        <x:v>R1</x:v>
      </x:c>
      <x:c r="B127" s="26" t="n">
        <x:v>46232.166666666664</x:v>
      </x:c>
      <x:c r="C127" s="25" t="n">
        <x:v>25</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c r="W127" t="str">
        <x:v>R1-123</x:v>
      </x:c>
    </x:row>
    <x:row r="128" ht="32" customHeight="1">
      <x:c r="A128" s="25" t="str">
        <x:v>R1</x:v>
      </x:c>
      <x:c r="B128" s="26" t="n">
        <x:v>46232.166666666664</x:v>
      </x:c>
      <x:c r="C128" s="25" t="n">
        <x:v>25</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c r="W128" t="str">
        <x:v>R1-124</x:v>
      </x:c>
    </x:row>
    <x:row r="129" ht="32" customHeight="1">
      <x:c r="A129" s="25" t="str">
        <x:v>R1</x:v>
      </x:c>
      <x:c r="B129" s="26" t="n">
        <x:v>46232.166666666664</x:v>
      </x:c>
      <x:c r="C129" s="25" t="n">
        <x:v>26</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c r="W129" t="str">
        <x:v>R1-125</x:v>
      </x:c>
    </x:row>
    <x:row r="130" ht="32" customHeight="1">
      <x:c r="A130" s="25" t="str">
        <x:v>R1</x:v>
      </x:c>
      <x:c r="B130" s="26" t="n">
        <x:v>46232.166666666664</x:v>
      </x:c>
      <x:c r="C130" s="25" t="n">
        <x:v>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c r="W130" t="str">
        <x:v>R1-126</x:v>
      </x:c>
    </x:row>
    <x:row r="131" ht="32" customHeight="1">
      <x:c r="A131" s="25" t="str">
        <x:v>R1</x:v>
      </x:c>
      <x:c r="B131" s="26" t="n">
        <x:v>46232.166666666664</x:v>
      </x:c>
      <x:c r="C131" s="25" t="n">
        <x:v>26</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c r="W131" t="str">
        <x:v>R1-127</x:v>
      </x:c>
    </x:row>
    <x:row r="132" ht="32" customHeight="1">
      <x:c r="A132" s="25" t="str">
        <x:v>R1</x:v>
      </x:c>
      <x:c r="B132" s="26" t="n">
        <x:v>46232.166666666664</x:v>
      </x:c>
      <x:c r="C132" s="25" t="n">
        <x:v>26</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c r="W132" t="str">
        <x:v>R1-128</x:v>
      </x:c>
    </x:row>
    <x:row r="133" ht="32" customHeight="1">
      <x:c r="A133" s="25" t="str">
        <x:v>R1</x:v>
      </x:c>
      <x:c r="B133" s="26" t="n">
        <x:v>46232.166666666664</x:v>
      </x:c>
      <x:c r="C133" s="25" t="n">
        <x:v>26</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c r="W133" t="str">
        <x:v>R1-129</x:v>
      </x:c>
    </x:row>
    <x:row r="134" ht="32" customHeight="1">
      <x:c r="A134" s="25" t="str">
        <x:v>R1</x:v>
      </x:c>
      <x:c r="B134" s="26" t="n">
        <x:v>46232.166666666664</x:v>
      </x:c>
      <x:c r="C134" s="25" t="n">
        <x:v>27</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c r="W134" t="str">
        <x:v>R1-130</x:v>
      </x:c>
    </x:row>
    <x:row r="135" ht="32" customHeight="1">
      <x:c r="A135" s="25" t="str">
        <x:v>R1</x:v>
      </x:c>
      <x:c r="B135" s="26" t="n">
        <x:v>46232.166666666664</x:v>
      </x:c>
      <x:c r="C135" s="25" t="n">
        <x:v>27</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c r="W135" t="str">
        <x:v>R1-131</x:v>
      </x:c>
    </x:row>
    <x:row r="136" ht="32" customHeight="1">
      <x:c r="A136" s="25" t="str">
        <x:v>R1</x:v>
      </x:c>
      <x:c r="B136" s="26" t="n">
        <x:v>46232.166666666664</x:v>
      </x:c>
      <x:c r="C136" s="25" t="n">
        <x:v>27</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c r="W136" t="str">
        <x:v>R1-132</x:v>
      </x:c>
    </x:row>
    <x:row r="137" ht="32" customHeight="1">
      <x:c r="A137" s="25" t="str">
        <x:v>R1</x:v>
      </x:c>
      <x:c r="B137" s="26" t="n">
        <x:v>46232.166666666664</x:v>
      </x:c>
      <x:c r="C137" s="25" t="n">
        <x:v>27</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c r="W137" t="str">
        <x:v>R1-133</x:v>
      </x:c>
    </x:row>
    <x:row r="138" ht="32" customHeight="1">
      <x:c r="A138" s="25" t="str">
        <x:v>R1</x:v>
      </x:c>
      <x:c r="B138" s="26" t="n">
        <x:v>46232.166666666664</x:v>
      </x:c>
      <x:c r="C138" s="25" t="n">
        <x:v>27</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c r="W138" t="str">
        <x:v>R1-134</x:v>
      </x:c>
    </x:row>
    <x:row r="139" ht="32" customHeight="1">
      <x:c r="A139" s="25" t="str">
        <x:v>R1</x:v>
      </x:c>
      <x:c r="B139" s="26" t="n">
        <x:v>46232.166666666664</x:v>
      </x:c>
      <x:c r="C139" s="25" t="n">
        <x:v>28</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c r="W139" t="str">
        <x:v>R1-135</x:v>
      </x:c>
    </x:row>
    <x:row r="140" ht="32" customHeight="1">
      <x:c r="A140" s="25" t="str">
        <x:v>R1</x:v>
      </x:c>
      <x:c r="B140" s="26" t="n">
        <x:v>46232.166666666664</x:v>
      </x:c>
      <x:c r="C140" s="25" t="n">
        <x:v>28</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c r="W140" t="str">
        <x:v>R1-136</x:v>
      </x:c>
    </x:row>
    <x:row r="141" ht="32" customHeight="1">
      <x:c r="A141" s="25" t="str">
        <x:v>R1</x:v>
      </x:c>
      <x:c r="B141" s="26" t="n">
        <x:v>46232.166666666664</x:v>
      </x:c>
      <x:c r="C141" s="25" t="n">
        <x:v>28</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c r="W141" t="str">
        <x:v>R1-137</x:v>
      </x:c>
    </x:row>
    <x:row r="142" ht="32" customHeight="1">
      <x:c r="A142" s="25" t="str">
        <x:v>R1</x:v>
      </x:c>
      <x:c r="B142" s="26" t="n">
        <x:v>46232.166666666664</x:v>
      </x:c>
      <x:c r="C142" s="25" t="n">
        <x:v>28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c r="W142" t="str">
        <x:v>R1-138</x:v>
      </x:c>
    </x:row>
    <x:row r="143" ht="32" customHeight="1">
      <x:c r="A143" s="25" t="str">
        <x:v>R1</x:v>
      </x:c>
      <x:c r="B143" s="26" t="n">
        <x:v>46232.166666666664</x:v>
      </x:c>
      <x:c r="C143" s="25" t="n">
        <x:v>28</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c r="W143" t="str">
        <x:v>R1-139</x:v>
      </x:c>
    </x:row>
    <x:row r="144" ht="32" customHeight="1">
      <x:c r="A144" s="25" t="str">
        <x:v>R1</x:v>
      </x:c>
      <x:c r="B144" s="26" t="n">
        <x:v>46232.166666666664</x:v>
      </x:c>
      <x:c r="C144" s="25" t="n">
        <x:v>29</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c r="W144" t="str">
        <x:v>R1-140</x:v>
      </x:c>
    </x:row>
    <x:row r="145" ht="32" customHeight="1">
      <x:c r="A145" s="25" t="str">
        <x:v>R1</x:v>
      </x:c>
      <x:c r="B145" s="26" t="n">
        <x:v>46232.166666666664</x:v>
      </x:c>
      <x:c r="C145" s="25" t="n">
        <x:v>29</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c r="W145" t="str">
        <x:v>R1-141</x:v>
      </x:c>
    </x:row>
    <x:row r="146" ht="32" customHeight="1">
      <x:c r="A146" s="25" t="str">
        <x:v>R1</x:v>
      </x:c>
      <x:c r="B146" s="26" t="n">
        <x:v>46232.166666666664</x:v>
      </x:c>
      <x:c r="C146" s="25" t="n">
        <x:v>29</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c r="W146" t="str">
        <x:v>R1-142</x:v>
      </x:c>
    </x:row>
    <x:row r="147" ht="32" customHeight="1">
      <x:c r="A147" s="25" t="str">
        <x:v>R1</x:v>
      </x:c>
      <x:c r="B147" s="26" t="n">
        <x:v>46232.166666666664</x:v>
      </x:c>
      <x:c r="C147" s="25" t="n">
        <x:v>29</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c r="W147" t="str">
        <x:v>R1-143</x:v>
      </x:c>
    </x:row>
    <x:row r="148" ht="32" customHeight="1">
      <x:c r="A148" s="25" t="str">
        <x:v>R1</x:v>
      </x:c>
      <x:c r="B148" s="26" t="n">
        <x:v>46232.166666666664</x:v>
      </x:c>
      <x:c r="C148" s="25" t="n">
        <x:v>29</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c r="W148" t="str">
        <x:v>R1-144</x:v>
      </x:c>
    </x:row>
    <x:row r="149" ht="32" customHeight="1">
      <x:c r="A149" s="25" t="str">
        <x:v>R1</x:v>
      </x:c>
      <x:c r="B149" s="26" t="n">
        <x:v>46232.166666666664</x:v>
      </x:c>
      <x:c r="C149" s="25" t="n">
        <x:v>30</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c r="W149" t="str">
        <x:v>R1-145</x:v>
      </x:c>
    </x:row>
    <x:row r="150" ht="32" customHeight="1">
      <x:c r="A150" s="25" t="str">
        <x:v>R1</x:v>
      </x:c>
      <x:c r="B150" s="26" t="n">
        <x:v>46232.166666666664</x:v>
      </x:c>
      <x:c r="C150" s="25" t="n">
        <x:v>30</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c r="W150" t="str">
        <x:v>R1-146</x:v>
      </x:c>
    </x:row>
    <x:row r="151" ht="32" customHeight="1">
      <x:c r="A151" s="25" t="str">
        <x:v>R1</x:v>
      </x:c>
      <x:c r="B151" s="26" t="n">
        <x:v>46232.166666666664</x:v>
      </x:c>
      <x:c r="C151" s="25" t="n">
        <x:v>30</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c r="W151" t="str">
        <x:v>R1-147</x:v>
      </x:c>
    </x:row>
    <x:row r="152" ht="32" customHeight="1">
      <x:c r="A152" s="25" t="str">
        <x:v>R1</x:v>
      </x:c>
      <x:c r="B152" s="26" t="n">
        <x:v>46232.166666666664</x:v>
      </x:c>
      <x:c r="C152" s="25" t="n">
        <x:v>30</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c r="W152" t="str">
        <x:v>R1-148</x:v>
      </x:c>
    </x:row>
    <x:row r="153" ht="32" customHeight="1">
      <x:c r="A153" s="25" t="str">
        <x:v>R1</x:v>
      </x:c>
      <x:c r="B153" s="26" t="n">
        <x:v>46232.166666666664</x:v>
      </x:c>
      <x:c r="C153" s="25" t="n">
        <x:v>30</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c r="W153" t="str">
        <x:v>R1-149</x:v>
      </x:c>
    </x:row>
    <x:row r="154" ht="32" customHeight="1">
      <x:c r="A154" s="25" t="str">
        <x:v>R1</x:v>
      </x:c>
      <x:c r="B154" s="26" t="n">
        <x:v>46232.166666666664</x:v>
      </x:c>
      <x:c r="C154" s="25" t="n">
        <x:v>31</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c r="W154" t="str">
        <x:v>R1-150</x:v>
      </x:c>
    </x:row>
    <x:row r="155" ht="32" customHeight="1">
      <x:c r="A155" s="25" t="str">
        <x:v>R1</x:v>
      </x:c>
      <x:c r="B155" s="26" t="n">
        <x:v>46232.166666666664</x:v>
      </x:c>
      <x:c r="C155" s="25" t="n">
        <x:v>31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c r="W155" t="str">
        <x:v>R1-151</x:v>
      </x:c>
    </x:row>
    <x:row r="156" ht="32" customHeight="1">
      <x:c r="A156" s="25" t="str">
        <x:v>R1</x:v>
      </x:c>
      <x:c r="B156" s="26" t="n">
        <x:v>46232.166666666664</x:v>
      </x:c>
      <x:c r="C156" s="25" t="n">
        <x:v>31</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c r="W156" t="str">
        <x:v>R1-152</x:v>
      </x:c>
    </x:row>
    <x:row r="157" ht="32" customHeight="1">
      <x:c r="A157" s="25" t="str">
        <x:v>R1</x:v>
      </x:c>
      <x:c r="B157" s="26" t="n">
        <x:v>46232.166666666664</x:v>
      </x:c>
      <x:c r="C157" s="25" t="n">
        <x:v>31</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c r="W157" t="str">
        <x:v>R1-153</x:v>
      </x:c>
    </x:row>
    <x:row r="158" ht="32" customHeight="1">
      <x:c r="A158" s="25" t="str">
        <x:v>R1</x:v>
      </x:c>
      <x:c r="B158" s="26" t="n">
        <x:v>46232.166666666664</x:v>
      </x:c>
      <x:c r="C158" s="25" t="n">
        <x:v>31</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c r="W158" t="str">
        <x:v>R1-154</x:v>
      </x:c>
    </x:row>
    <x:row r="159" ht="32" customHeight="1">
      <x:c r="A159" s="25" t="str">
        <x:v>R1</x:v>
      </x:c>
      <x:c r="B159" s="26" t="n">
        <x:v>46232.166666666664</x:v>
      </x:c>
      <x:c r="C159" s="25" t="n">
        <x:v>32</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c r="W159" t="str">
        <x:v>R1-155</x:v>
      </x:c>
    </x:row>
    <x:row r="160" ht="32" customHeight="1">
      <x:c r="A160" s="25" t="str">
        <x:v>R1</x:v>
      </x:c>
      <x:c r="B160" s="26" t="n">
        <x:v>46232.166666666664</x:v>
      </x:c>
      <x:c r="C160" s="25" t="n">
        <x:v>32</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c r="W160" t="str">
        <x:v>R1-156</x:v>
      </x:c>
    </x:row>
    <x:row r="161" ht="32" customHeight="1">
      <x:c r="A161" s="25" t="str">
        <x:v>R1</x:v>
      </x:c>
      <x:c r="B161" s="26" t="n">
        <x:v>46232.166666666664</x:v>
      </x:c>
      <x:c r="C161" s="25" t="n">
        <x:v>32</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c r="W161" t="str">
        <x:v>R1-157</x:v>
      </x:c>
    </x:row>
    <x:row r="162" ht="32" customHeight="1">
      <x:c r="A162" s="25" t="str">
        <x:v>R1</x:v>
      </x:c>
      <x:c r="B162" s="26" t="n">
        <x:v>46232.166666666664</x:v>
      </x:c>
      <x:c r="C162" s="25" t="n">
        <x:v>32</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c r="W162" t="str">
        <x:v>R1-158</x:v>
      </x:c>
    </x:row>
    <x:row r="163" ht="32" customHeight="1">
      <x:c r="A163" s="25" t="str">
        <x:v>R1</x:v>
      </x:c>
      <x:c r="B163" s="26" t="n">
        <x:v>46232.166666666664</x:v>
      </x:c>
      <x:c r="C163" s="25" t="n">
        <x:v>32</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c r="W163" t="str">
        <x:v>R1-159</x:v>
      </x:c>
    </x:row>
    <x:row r="164" ht="32" customHeight="1">
      <x:c r="A164" s="25" t="str">
        <x:v>R1</x:v>
      </x:c>
      <x:c r="B164" s="26" t="n">
        <x:v>46232.166666666664</x:v>
      </x:c>
      <x:c r="C164" s="25" t="n">
        <x:v>33</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c r="W164" t="str">
        <x:v>R1-160</x:v>
      </x:c>
    </x:row>
    <x:row r="165" ht="32" customHeight="1">
      <x:c r="A165" s="25" t="str">
        <x:v>R1</x:v>
      </x:c>
      <x:c r="B165" s="26" t="n">
        <x:v>46232.166666666664</x:v>
      </x:c>
      <x:c r="C165" s="25" t="n">
        <x:v>33</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c r="W165" t="str">
        <x:v>R1-161</x:v>
      </x:c>
    </x:row>
    <x:row r="166" ht="32" customHeight="1">
      <x:c r="A166" s="25" t="str">
        <x:v>R1</x:v>
      </x:c>
      <x:c r="B166" s="26" t="n">
        <x:v>46232.166666666664</x:v>
      </x:c>
      <x:c r="C166" s="25" t="n">
        <x:v>33</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c r="W166" t="str">
        <x:v>R1-162</x:v>
      </x:c>
    </x:row>
    <x:row r="167" ht="32" customHeight="1">
      <x:c r="A167" s="25" t="str">
        <x:v>R1</x:v>
      </x:c>
      <x:c r="B167" s="26" t="n">
        <x:v>46232.166666666664</x:v>
      </x:c>
      <x:c r="C167" s="25" t="n">
        <x:v>33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c r="W167" t="str">
        <x:v>R1-163</x:v>
      </x:c>
    </x:row>
    <x:row r="168" ht="32" customHeight="1">
      <x:c r="A168" s="25" t="str">
        <x:v>R1</x:v>
      </x:c>
      <x:c r="B168" s="26" t="n">
        <x:v>46232.166666666664</x:v>
      </x:c>
      <x:c r="C168" s="25" t="n">
        <x:v>33</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c r="W168" t="str">
        <x:v>R1-164</x:v>
      </x:c>
    </x:row>
    <x:row r="169" ht="32" customHeight="1">
      <x:c r="A169" s="25" t="str">
        <x:v>R1</x:v>
      </x:c>
      <x:c r="B169" s="26" t="n">
        <x:v>46232.166666666664</x:v>
      </x:c>
      <x:c r="C169" s="25" t="n">
        <x:v>34</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c r="W169" t="str">
        <x:v>R1-165</x:v>
      </x:c>
    </x:row>
    <x:row r="170" ht="32" customHeight="1">
      <x:c r="A170" s="25" t="str">
        <x:v>R1</x:v>
      </x:c>
      <x:c r="B170" s="26" t="n">
        <x:v>46232.166666666664</x:v>
      </x:c>
      <x:c r="C170" s="25" t="n">
        <x:v>34</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c r="W170" t="str">
        <x:v>R1-166</x:v>
      </x:c>
    </x:row>
    <x:row r="171" ht="32" customHeight="1">
      <x:c r="A171" s="25" t="str">
        <x:v>R1</x:v>
      </x:c>
      <x:c r="B171" s="26" t="n">
        <x:v>46232.166666666664</x:v>
      </x:c>
      <x:c r="C171" s="25" t="n">
        <x:v>34</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c r="W171" t="str">
        <x:v>R1-167</x:v>
      </x:c>
    </x:row>
    <x:row r="172" ht="32" customHeight="1">
      <x:c r="A172" s="25" t="str">
        <x:v>R1</x:v>
      </x:c>
      <x:c r="B172" s="26" t="n">
        <x:v>46232.166666666664</x:v>
      </x:c>
      <x:c r="C172" s="25" t="n">
        <x:v>34</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c r="W172" t="str">
        <x:v>R1-168</x:v>
      </x:c>
    </x:row>
    <x:row r="173" ht="32" customHeight="1">
      <x:c r="A173" s="25" t="str">
        <x:v>R1</x:v>
      </x:c>
      <x:c r="B173" s="26" t="n">
        <x:v>46232.166666666664</x:v>
      </x:c>
      <x:c r="C173" s="25" t="n">
        <x:v>34</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c r="W173" t="str">
        <x:v>R1-169</x:v>
      </x:c>
    </x:row>
    <x:row r="174" ht="32" customHeight="1">
      <x:c r="A174" s="25" t="str">
        <x:v>R1</x:v>
      </x:c>
      <x:c r="B174" s="26" t="n">
        <x:v>46232.166666666664</x:v>
      </x:c>
      <x:c r="C174" s="25" t="n">
        <x:v>35</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c r="W174" t="str">
        <x:v>R1-170</x:v>
      </x:c>
    </x:row>
    <x:row r="175" ht="32" customHeight="1">
      <x:c r="A175" s="25" t="str">
        <x:v>R1</x:v>
      </x:c>
      <x:c r="B175" s="26" t="n">
        <x:v>46232.166666666664</x:v>
      </x:c>
      <x:c r="C175" s="25" t="n">
        <x:v>35</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c r="W175" t="str">
        <x:v>R1-171</x:v>
      </x:c>
    </x:row>
    <x:row r="176" ht="32" customHeight="1">
      <x:c r="A176" s="25" t="str">
        <x:v>R1</x:v>
      </x:c>
      <x:c r="B176" s="26" t="n">
        <x:v>46232.166666666664</x:v>
      </x:c>
      <x:c r="C176" s="25" t="n">
        <x:v>35</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c r="W176" t="str">
        <x:v>R1-172</x:v>
      </x:c>
    </x:row>
    <x:row r="177" ht="32" customHeight="1">
      <x:c r="A177" s="25" t="str">
        <x:v>R1</x:v>
      </x:c>
      <x:c r="B177" s="26" t="n">
        <x:v>46232.166666666664</x:v>
      </x:c>
      <x:c r="C177" s="25" t="n">
        <x:v>35</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c r="W177" t="str">
        <x:v>R1-173</x:v>
      </x:c>
    </x:row>
    <x:row r="178" ht="32" customHeight="1">
      <x:c r="A178" s="25" t="str">
        <x:v>R1</x:v>
      </x:c>
      <x:c r="B178" s="26" t="n">
        <x:v>46232.166666666664</x:v>
      </x:c>
      <x:c r="C178" s="25" t="n">
        <x:v>35</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c r="W178" t="str">
        <x:v>R1-174</x:v>
      </x:c>
    </x:row>
    <x:row r="179" ht="32" customHeight="1">
      <x:c r="A179" s="25" t="str">
        <x:v>R1</x:v>
      </x:c>
      <x:c r="B179" s="26" t="n">
        <x:v>46232.166666666664</x:v>
      </x:c>
      <x:c r="C179" s="25" t="n">
        <x:v>36</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c r="W179" t="str">
        <x:v>R1-175</x:v>
      </x:c>
    </x:row>
    <x:row r="180" ht="32" customHeight="1">
      <x:c r="A180" s="25" t="str">
        <x:v>R1</x:v>
      </x:c>
      <x:c r="B180" s="26" t="n">
        <x:v>46232.166666666664</x:v>
      </x:c>
      <x:c r="C180" s="25" t="n">
        <x:v>36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c r="W180" t="str">
        <x:v>R1-176</x:v>
      </x:c>
    </x:row>
    <x:row r="181" ht="32" customHeight="1">
      <x:c r="A181" s="25" t="str">
        <x:v>R1</x:v>
      </x:c>
      <x:c r="B181" s="26" t="n">
        <x:v>46232.166666666664</x:v>
      </x:c>
      <x:c r="C181" s="25" t="n">
        <x:v>36</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c r="W181" t="str">
        <x:v>R1-177</x:v>
      </x:c>
    </x:row>
    <x:row r="182" ht="32" customHeight="1">
      <x:c r="A182" s="25" t="str">
        <x:v>R1</x:v>
      </x:c>
      <x:c r="B182" s="26" t="n">
        <x:v>46232.166666666664</x:v>
      </x:c>
      <x:c r="C182" s="25" t="n">
        <x:v>36</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c r="W182" t="str">
        <x:v>R1-178</x:v>
      </x:c>
    </x:row>
    <x:row r="183" ht="32" customHeight="1">
      <x:c r="A183" s="25" t="str">
        <x:v>R1</x:v>
      </x:c>
      <x:c r="B183" s="26" t="n">
        <x:v>46232.166666666664</x:v>
      </x:c>
      <x:c r="C183" s="25" t="n">
        <x:v>36</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c r="W183" t="str">
        <x:v>R1-179</x:v>
      </x:c>
    </x:row>
    <x:row r="184" ht="32" customHeight="1">
      <x:c r="A184" s="25" t="str">
        <x:v>R1</x:v>
      </x:c>
      <x:c r="B184" s="26" t="n">
        <x:v>46232.166666666664</x:v>
      </x:c>
      <x:c r="C184" s="25" t="n">
        <x:v>37</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c r="W184" t="str">
        <x:v>R1-180</x:v>
      </x:c>
    </x:row>
    <x:row r="185" ht="32" customHeight="1">
      <x:c r="A185" s="25" t="str">
        <x:v>R1</x:v>
      </x:c>
      <x:c r="B185" s="26" t="n">
        <x:v>46232.166666666664</x:v>
      </x:c>
      <x:c r="C185" s="25" t="n">
        <x:v>37</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c r="W185" t="str">
        <x:v>R1-181</x:v>
      </x:c>
    </x:row>
    <x:row r="186" ht="32" customHeight="1">
      <x:c r="A186" s="25" t="str">
        <x:v>R1</x:v>
      </x:c>
      <x:c r="B186" s="26" t="n">
        <x:v>46232.166666666664</x:v>
      </x:c>
      <x:c r="C186" s="25" t="n">
        <x:v>37</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c r="W186" t="str">
        <x:v>R1-182</x:v>
      </x:c>
    </x:row>
    <x:row r="187" ht="32" customHeight="1">
      <x:c r="A187" s="25" t="str">
        <x:v>R1</x:v>
      </x:c>
      <x:c r="B187" s="26" t="n">
        <x:v>46232.166666666664</x:v>
      </x:c>
      <x:c r="C187" s="25" t="n">
        <x:v>37</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c r="W187" t="str">
        <x:v>R1-183</x:v>
      </x:c>
    </x:row>
    <x:row r="188" ht="32" customHeight="1">
      <x:c r="A188" s="25" t="str">
        <x:v>R1</x:v>
      </x:c>
      <x:c r="B188" s="26" t="n">
        <x:v>46232.166666666664</x:v>
      </x:c>
      <x:c r="C188" s="25" t="n">
        <x:v>37</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c r="W188" t="str">
        <x:v>R1-184</x:v>
      </x:c>
    </x:row>
    <x:row r="189" ht="32" customHeight="1">
      <x:c r="A189" s="25" t="str">
        <x:v>R1</x:v>
      </x:c>
      <x:c r="B189" s="26" t="n">
        <x:v>46232.166666666664</x:v>
      </x:c>
      <x:c r="C189" s="25" t="n">
        <x:v>38</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c r="W189" t="str">
        <x:v>R1-185</x:v>
      </x:c>
    </x:row>
    <x:row r="190" ht="32" customHeight="1">
      <x:c r="A190" s="25" t="str">
        <x:v>R1</x:v>
      </x:c>
      <x:c r="B190" s="26" t="n">
        <x:v>46232.166666666664</x:v>
      </x:c>
      <x:c r="C190" s="25" t="n">
        <x:v>38</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c r="W190" t="str">
        <x:v>R1-186</x:v>
      </x:c>
    </x:row>
    <x:row r="191" ht="32" customHeight="1">
      <x:c r="A191" s="25" t="str">
        <x:v>R1</x:v>
      </x:c>
      <x:c r="B191" s="26" t="n">
        <x:v>46232.166666666664</x:v>
      </x:c>
      <x:c r="C191" s="25" t="n">
        <x:v>38</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c r="W191" t="str">
        <x:v>R1-187</x:v>
      </x:c>
    </x:row>
    <x:row r="192" ht="32" customHeight="1">
      <x:c r="A192" s="25" t="str">
        <x:v>R1</x:v>
      </x:c>
      <x:c r="B192" s="26" t="n">
        <x:v>46232.166666666664</x:v>
      </x:c>
      <x:c r="C192" s="25" t="n">
        <x:v>38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c r="W192" t="str">
        <x:v>R1-188</x:v>
      </x:c>
    </x:row>
    <x:row r="193" ht="32" customHeight="1">
      <x:c r="A193" s="25" t="str">
        <x:v>R1</x:v>
      </x:c>
      <x:c r="B193" s="26" t="n">
        <x:v>46232.166666666664</x:v>
      </x:c>
      <x:c r="C193" s="25" t="n">
        <x:v>38</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c r="W193" t="str">
        <x:v>R1-189</x:v>
      </x:c>
    </x:row>
    <x:row r="194" ht="32" customHeight="1">
      <x:c r="A194" s="25" t="str">
        <x:v>R1</x:v>
      </x:c>
      <x:c r="B194" s="26" t="n">
        <x:v>46232.166666666664</x:v>
      </x:c>
      <x:c r="C194" s="25" t="n">
        <x:v>39</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c r="W194" t="str">
        <x:v>R1-190</x:v>
      </x:c>
    </x:row>
    <x:row r="195" ht="32" customHeight="1">
      <x:c r="A195" s="25" t="str">
        <x:v>R1</x:v>
      </x:c>
      <x:c r="B195" s="26" t="n">
        <x:v>46232.166666666664</x:v>
      </x:c>
      <x:c r="C195" s="25" t="n">
        <x:v>39</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c r="W195" t="str">
        <x:v>R1-191</x:v>
      </x:c>
    </x:row>
    <x:row r="196" ht="32" customHeight="1">
      <x:c r="A196" s="25" t="str">
        <x:v>R1</x:v>
      </x:c>
      <x:c r="B196" s="26" t="n">
        <x:v>46232.166666666664</x:v>
      </x:c>
      <x:c r="C196" s="25" t="n">
        <x:v>39</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c r="W196" t="str">
        <x:v>R1-192</x:v>
      </x:c>
    </x:row>
    <x:row r="197" ht="32" customHeight="1">
      <x:c r="A197" s="25" t="str">
        <x:v>R1</x:v>
      </x:c>
      <x:c r="B197" s="26" t="n">
        <x:v>46232.166666666664</x:v>
      </x:c>
      <x:c r="C197" s="25" t="n">
        <x:v>39</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c r="W197" t="str">
        <x:v>R1-193</x:v>
      </x:c>
    </x:row>
    <x:row r="198" ht="32" customHeight="1">
      <x:c r="A198" s="25" t="str">
        <x:v>R1</x:v>
      </x:c>
      <x:c r="B198" s="26" t="n">
        <x:v>46232.166666666664</x:v>
      </x:c>
      <x:c r="C198" s="25" t="n">
        <x:v>39</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c r="W198" t="str">
        <x:v>R1-194</x:v>
      </x:c>
    </x:row>
    <x:row r="199" ht="32" customHeight="1">
      <x:c r="A199" s="25" t="str">
        <x:v>R1</x:v>
      </x:c>
      <x:c r="B199" s="26" t="n">
        <x:v>46232.166666666664</x:v>
      </x:c>
      <x:c r="C199" s="25" t="n">
        <x:v>40</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c r="W199" t="str">
        <x:v>R1-195</x:v>
      </x:c>
    </x:row>
    <x:row r="200" ht="32" customHeight="1">
      <x:c r="A200" s="25" t="str">
        <x:v>R1</x:v>
      </x:c>
      <x:c r="B200" s="26" t="n">
        <x:v>46232.166666666664</x:v>
      </x:c>
      <x:c r="C200" s="25" t="n">
        <x:v>40</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c r="W200" t="str">
        <x:v>R1-196</x:v>
      </x:c>
    </x:row>
    <x:row r="201" ht="32" customHeight="1">
      <x:c r="A201" s="25" t="str">
        <x:v>R1</x:v>
      </x:c>
      <x:c r="B201" s="26" t="n">
        <x:v>46232.166666666664</x:v>
      </x:c>
      <x:c r="C201" s="25" t="n">
        <x:v>40</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c r="W201" t="str">
        <x:v>R1-197</x:v>
      </x:c>
    </x:row>
    <x:row r="202" ht="32" customHeight="1">
      <x:c r="A202" s="25" t="str">
        <x:v>R1</x:v>
      </x:c>
      <x:c r="B202" s="26" t="n">
        <x:v>46232.166666666664</x:v>
      </x:c>
      <x:c r="C202" s="25" t="n">
        <x:v>40</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c r="W202" t="str">
        <x:v>R1-198</x:v>
      </x:c>
    </x:row>
    <x:row r="203" ht="32" customHeight="1">
      <x:c r="A203" s="25" t="str">
        <x:v>R1</x:v>
      </x:c>
      <x:c r="B203" s="26" t="n">
        <x:v>46232.166666666664</x:v>
      </x:c>
      <x:c r="C203" s="25" t="n">
        <x:v>40</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c r="W203" t="str">
        <x:v>R1-199</x:v>
      </x:c>
    </x:row>
    <x:row r="204" ht="32" customHeight="1">
      <x:c r="A204" s="25" t="str">
        <x:v>R1</x:v>
      </x:c>
      <x:c r="B204" s="26" t="n">
        <x:v>46232.166666666664</x:v>
      </x:c>
      <x:c r="C204" s="25" t="n">
        <x:v>41</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c r="W204" t="str">
        <x:v>R1-200</x:v>
      </x:c>
    </x:row>
    <x:row r="205" ht="32" customHeight="1">
      <x:c r="A205" s="25" t="str">
        <x:v>R1</x:v>
      </x:c>
      <x:c r="B205" s="26" t="n">
        <x:v>46232.166666666664</x:v>
      </x:c>
      <x:c r="C205" s="25" t="n">
        <x:v>41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c r="W205" t="str">
        <x:v>R1-201</x:v>
      </x:c>
    </x:row>
    <x:row r="206" ht="32" customHeight="1">
      <x:c r="A206" s="25" t="str">
        <x:v>R1</x:v>
      </x:c>
      <x:c r="B206" s="26" t="n">
        <x:v>46232.166666666664</x:v>
      </x:c>
      <x:c r="C206" s="25" t="n">
        <x:v>41</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c r="W206" t="str">
        <x:v>R1-202</x:v>
      </x:c>
    </x:row>
    <x:row r="207" ht="32" customHeight="1">
      <x:c r="A207" s="25" t="str">
        <x:v>R1</x:v>
      </x:c>
      <x:c r="B207" s="26" t="n">
        <x:v>46232.166666666664</x:v>
      </x:c>
      <x:c r="C207" s="25" t="n">
        <x:v>41</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c r="W207" t="str">
        <x:v>R1-203</x:v>
      </x:c>
    </x:row>
    <x:row r="208" ht="32" customHeight="1">
      <x:c r="A208" s="25" t="str">
        <x:v>R1</x:v>
      </x:c>
      <x:c r="B208" s="26" t="n">
        <x:v>46232.166666666664</x:v>
      </x:c>
      <x:c r="C208" s="25" t="n">
        <x:v>41</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c r="W208" t="str">
        <x:v>R1-204</x:v>
      </x:c>
    </x:row>
    <x:row r="209" ht="32" customHeight="1">
      <x:c r="A209" s="25" t="str">
        <x:v>R1</x:v>
      </x:c>
      <x:c r="B209" s="26" t="n">
        <x:v>46232.166666666664</x:v>
      </x:c>
      <x:c r="C209" s="25" t="n">
        <x:v>42</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c r="W209" t="str">
        <x:v>R1-205</x:v>
      </x:c>
    </x:row>
    <x:row r="210" ht="32" customHeight="1">
      <x:c r="A210" s="25" t="str">
        <x:v>R1</x:v>
      </x:c>
      <x:c r="B210" s="26" t="n">
        <x:v>46232.166666666664</x:v>
      </x:c>
      <x:c r="C210" s="25" t="n">
        <x:v>42</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c r="W210" t="str">
        <x:v>R1-206</x:v>
      </x:c>
    </x:row>
    <x:row r="211" ht="32" customHeight="1">
      <x:c r="A211" s="25" t="str">
        <x:v>R1</x:v>
      </x:c>
      <x:c r="B211" s="26" t="n">
        <x:v>46232.166666666664</x:v>
      </x:c>
      <x:c r="C211" s="25" t="n">
        <x:v>42</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c r="W211" t="str">
        <x:v>R1-207</x:v>
      </x:c>
    </x:row>
    <x:row r="212" ht="32" customHeight="1">
      <x:c r="A212" s="25" t="str">
        <x:v>R1</x:v>
      </x:c>
      <x:c r="B212" s="26" t="n">
        <x:v>46232.166666666664</x:v>
      </x:c>
      <x:c r="C212" s="25" t="n">
        <x:v>42</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c r="W212" t="str">
        <x:v>R1-208</x:v>
      </x:c>
    </x:row>
    <x:row r="213" ht="32" customHeight="1">
      <x:c r="A213" s="25" t="str">
        <x:v>R1</x:v>
      </x:c>
      <x:c r="B213" s="26" t="n">
        <x:v>46232.166666666664</x:v>
      </x:c>
      <x:c r="C213" s="25" t="n">
        <x:v>42</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c r="W213" t="str">
        <x:v>R1-209</x:v>
      </x:c>
    </x:row>
    <x:row r="214" ht="32" customHeight="1">
      <x:c r="A214" s="25" t="str">
        <x:v>R1</x:v>
      </x:c>
      <x:c r="B214" s="26" t="n">
        <x:v>46232.166666666664</x:v>
      </x:c>
      <x:c r="C214" s="25" t="n">
        <x:v>43</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c r="W214" t="str">
        <x:v>R1-210</x:v>
      </x:c>
    </x:row>
    <x:row r="215" ht="32" customHeight="1">
      <x:c r="A215" s="25" t="str">
        <x:v>R1</x:v>
      </x:c>
      <x:c r="B215" s="26" t="n">
        <x:v>46232.166666666664</x:v>
      </x:c>
      <x:c r="C215" s="25" t="n">
        <x:v>43</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c r="W215" t="str">
        <x:v>R1-211</x:v>
      </x:c>
    </x:row>
    <x:row r="216" ht="32" customHeight="1">
      <x:c r="A216" s="25" t="str">
        <x:v>R1</x:v>
      </x:c>
      <x:c r="B216" s="26" t="n">
        <x:v>46232.166666666664</x:v>
      </x:c>
      <x:c r="C216" s="25" t="n">
        <x:v>43</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c r="W216" t="str">
        <x:v>R1-212</x:v>
      </x:c>
    </x:row>
    <x:row r="217" ht="32" customHeight="1">
      <x:c r="A217" s="25" t="str">
        <x:v>R1</x:v>
      </x:c>
      <x:c r="B217" s="26" t="n">
        <x:v>46232.166666666664</x:v>
      </x:c>
      <x:c r="C217" s="25" t="n">
        <x:v>43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c r="W217" t="str">
        <x:v>R1-213</x:v>
      </x:c>
    </x:row>
    <x:row r="218" ht="32" customHeight="1">
      <x:c r="A218" s="25" t="str">
        <x:v>R1</x:v>
      </x:c>
      <x:c r="B218" s="26" t="n">
        <x:v>46232.166666666664</x:v>
      </x:c>
      <x:c r="C218" s="25" t="n">
        <x:v>43</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c r="W218" t="str">
        <x:v>R1-214</x:v>
      </x:c>
    </x:row>
    <x:row r="219" ht="32" customHeight="1">
      <x:c r="A219" s="25" t="str">
        <x:v>R1</x:v>
      </x:c>
      <x:c r="B219" s="26" t="n">
        <x:v>46232.166666666664</x:v>
      </x:c>
      <x:c r="C219" s="25" t="n">
        <x:v>44</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c r="W219" t="str">
        <x:v>R1-215</x:v>
      </x:c>
    </x:row>
    <x:row r="220" ht="32" customHeight="1">
      <x:c r="A220" s="25" t="str">
        <x:v>R1</x:v>
      </x:c>
      <x:c r="B220" s="26" t="n">
        <x:v>46232.166666666664</x:v>
      </x:c>
      <x:c r="C220" s="25" t="n">
        <x:v>44</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c r="W220" t="str">
        <x:v>R1-216</x:v>
      </x:c>
    </x:row>
    <x:row r="221" ht="32" customHeight="1">
      <x:c r="A221" s="25" t="str">
        <x:v>R1</x:v>
      </x:c>
      <x:c r="B221" s="26" t="n">
        <x:v>46232.166666666664</x:v>
      </x:c>
      <x:c r="C221" s="25" t="n">
        <x:v>44</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c r="W221" t="str">
        <x:v>R1-217</x:v>
      </x:c>
    </x:row>
    <x:row r="222" ht="32" customHeight="1">
      <x:c r="A222" s="25" t="str">
        <x:v>R1</x:v>
      </x:c>
      <x:c r="B222" s="26" t="n">
        <x:v>46232.166666666664</x:v>
      </x:c>
      <x:c r="C222" s="25" t="n">
        <x:v>44</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c r="W222" t="str">
        <x:v>R1-218</x:v>
      </x:c>
    </x:row>
    <x:row r="223" ht="32" customHeight="1">
      <x:c r="A223" s="25" t="str">
        <x:v>R1</x:v>
      </x:c>
      <x:c r="B223" s="26" t="n">
        <x:v>46232.166666666664</x:v>
      </x:c>
      <x:c r="C223" s="25" t="n">
        <x:v>44</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c r="W223" t="str">
        <x:v>R1-219</x:v>
      </x:c>
    </x:row>
    <x:row r="224" ht="32" customHeight="1">
      <x:c r="A224" s="25" t="str">
        <x:v>R1</x:v>
      </x:c>
      <x:c r="B224" s="26" t="n">
        <x:v>46232.166666666664</x:v>
      </x:c>
      <x:c r="C224" s="25" t="n">
        <x:v>45</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c r="W224" t="str">
        <x:v>R1-220</x:v>
      </x:c>
    </x:row>
    <x:row r="225" ht="32" customHeight="1">
      <x:c r="A225" s="25" t="str">
        <x:v>R1</x:v>
      </x:c>
      <x:c r="B225" s="26" t="n">
        <x:v>46232.166666666664</x:v>
      </x:c>
      <x:c r="C225" s="25" t="n">
        <x:v>45</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c r="W225" t="str">
        <x:v>R1-221</x:v>
      </x:c>
    </x:row>
    <x:row r="226" ht="32" customHeight="1">
      <x:c r="A226" s="25" t="str">
        <x:v>R1</x:v>
      </x:c>
      <x:c r="B226" s="26" t="n">
        <x:v>46232.166666666664</x:v>
      </x:c>
      <x:c r="C226" s="25" t="n">
        <x:v>45</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c r="W226" t="str">
        <x:v>R1-222</x:v>
      </x:c>
    </x:row>
    <x:row r="227" ht="32" customHeight="1">
      <x:c r="A227" s="25" t="str">
        <x:v>R1</x:v>
      </x:c>
      <x:c r="B227" s="26" t="n">
        <x:v>46232.166666666664</x:v>
      </x:c>
      <x:c r="C227" s="25" t="n">
        <x:v>45</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c r="W227" t="str">
        <x:v>R1-223</x:v>
      </x:c>
    </x:row>
    <x:row r="228" ht="32" customHeight="1">
      <x:c r="A228" s="25" t="str">
        <x:v>R1</x:v>
      </x:c>
      <x:c r="B228" s="26" t="n">
        <x:v>46232.166666666664</x:v>
      </x:c>
      <x:c r="C228" s="25" t="n">
        <x:v>45</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c r="W228" t="str">
        <x:v>R1-224</x:v>
      </x:c>
    </x:row>
    <x:row r="229" ht="32" customHeight="1">
      <x:c r="A229" s="25" t="str">
        <x:v>R1</x:v>
      </x:c>
      <x:c r="B229" s="26" t="n">
        <x:v>46232.166666666664</x:v>
      </x:c>
      <x:c r="C229" s="25" t="n">
        <x:v>46</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c r="W229" t="str">
        <x:v>R1-225</x:v>
      </x:c>
    </x:row>
    <x:row r="230" ht="32" customHeight="1">
      <x:c r="A230" s="25" t="str">
        <x:v>R1</x:v>
      </x:c>
      <x:c r="B230" s="26" t="n">
        <x:v>46232.166666666664</x:v>
      </x:c>
      <x:c r="C230" s="25" t="n">
        <x:v>46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c r="W230" t="str">
        <x:v>R1-226</x:v>
      </x:c>
    </x:row>
    <x:row r="231" ht="32" customHeight="1">
      <x:c r="A231" s="25" t="str">
        <x:v>R1</x:v>
      </x:c>
      <x:c r="B231" s="26" t="n">
        <x:v>46232.166666666664</x:v>
      </x:c>
      <x:c r="C231" s="25" t="n">
        <x:v>46</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c r="W231" t="str">
        <x:v>R1-227</x:v>
      </x:c>
    </x:row>
    <x:row r="232" ht="32" customHeight="1">
      <x:c r="A232" s="25" t="str">
        <x:v>R1</x:v>
      </x:c>
      <x:c r="B232" s="26" t="n">
        <x:v>46232.166666666664</x:v>
      </x:c>
      <x:c r="C232" s="25" t="n">
        <x:v>46</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c r="W232" t="str">
        <x:v>R1-228</x:v>
      </x:c>
    </x:row>
    <x:row r="233" ht="32" customHeight="1">
      <x:c r="A233" s="25" t="str">
        <x:v>R1</x:v>
      </x:c>
      <x:c r="B233" s="26" t="n">
        <x:v>46232.166666666664</x:v>
      </x:c>
      <x:c r="C233" s="25" t="n">
        <x:v>46</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c r="W233" t="str">
        <x:v>R1-229</x:v>
      </x:c>
    </x:row>
    <x:row r="234" ht="32" customHeight="1">
      <x:c r="A234" s="25" t="str">
        <x:v>R1</x:v>
      </x:c>
      <x:c r="B234" s="26" t="n">
        <x:v>46232.166666666664</x:v>
      </x:c>
      <x:c r="C234" s="25" t="n">
        <x:v>47</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c r="W234" t="str">
        <x:v>R1-230</x:v>
      </x:c>
    </x:row>
    <x:row r="235" ht="32" customHeight="1">
      <x:c r="A235" s="25" t="str">
        <x:v>R1</x:v>
      </x:c>
      <x:c r="B235" s="26" t="n">
        <x:v>46232.166666666664</x:v>
      </x:c>
      <x:c r="C235" s="25" t="n">
        <x:v>47</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c r="W235" t="str">
        <x:v>R1-231</x:v>
      </x:c>
    </x:row>
    <x:row r="236" ht="32" customHeight="1">
      <x:c r="A236" s="25" t="str">
        <x:v>R1</x:v>
      </x:c>
      <x:c r="B236" s="26" t="n">
        <x:v>46232.166666666664</x:v>
      </x:c>
      <x:c r="C236" s="25" t="n">
        <x:v>47</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c r="W236" t="str">
        <x:v>R1-232</x:v>
      </x:c>
    </x:row>
    <x:row r="237" ht="32" customHeight="1">
      <x:c r="A237" s="25" t="str">
        <x:v>R1</x:v>
      </x:c>
      <x:c r="B237" s="26" t="n">
        <x:v>46232.166666666664</x:v>
      </x:c>
      <x:c r="C237" s="25" t="n">
        <x:v>47</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c r="W237" t="str">
        <x:v>R1-233</x:v>
      </x:c>
    </x:row>
    <x:row r="238" ht="32" customHeight="1">
      <x:c r="A238" s="25" t="str">
        <x:v>R1</x:v>
      </x:c>
      <x:c r="B238" s="26" t="n">
        <x:v>46232.166666666664</x:v>
      </x:c>
      <x:c r="C238" s="25" t="n">
        <x:v>47</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c r="W238" t="str">
        <x:v>R1-234</x:v>
      </x:c>
    </x:row>
    <x:row r="239" ht="32" customHeight="1">
      <x:c r="A239" s="25" t="str">
        <x:v>R1</x:v>
      </x:c>
      <x:c r="B239" s="26" t="n">
        <x:v>46232.166666666664</x:v>
      </x:c>
      <x:c r="C239" s="25" t="n">
        <x:v>48</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c r="W239" t="str">
        <x:v>R1-235</x:v>
      </x:c>
    </x:row>
    <x:row r="240" ht="32" customHeight="1">
      <x:c r="A240" s="25" t="str">
        <x:v>R1</x:v>
      </x:c>
      <x:c r="B240" s="26" t="n">
        <x:v>46232.166666666664</x:v>
      </x:c>
      <x:c r="C240" s="25" t="n">
        <x:v>48</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c r="W240" t="str">
        <x:v>R1-236</x:v>
      </x:c>
    </x:row>
    <x:row r="241" ht="32" customHeight="1">
      <x:c r="A241" s="25" t="str">
        <x:v>R1</x:v>
      </x:c>
      <x:c r="B241" s="26" t="n">
        <x:v>46232.166666666664</x:v>
      </x:c>
      <x:c r="C241" s="25" t="n">
        <x:v>48</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c r="W241" t="str">
        <x:v>R1-237</x:v>
      </x:c>
    </x:row>
    <x:row r="242" ht="32" customHeight="1">
      <x:c r="A242" s="25" t="str">
        <x:v>R1</x:v>
      </x:c>
      <x:c r="B242" s="26" t="n">
        <x:v>46232.166666666664</x:v>
      </x:c>
      <x:c r="C242" s="25" t="n">
        <x:v>48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c r="W242" t="str">
        <x:v>R1-238</x:v>
      </x:c>
    </x:row>
    <x:row r="243" ht="32" customHeight="1">
      <x:c r="A243" s="25" t="str">
        <x:v>R1</x:v>
      </x:c>
      <x:c r="B243" s="26" t="n">
        <x:v>46232.166666666664</x:v>
      </x:c>
      <x:c r="C243" s="25" t="n">
        <x:v>48</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c r="W243" t="str">
        <x:v>R1-239</x:v>
      </x:c>
    </x:row>
    <x:row r="244" ht="32" customHeight="1">
      <x:c r="A244" s="25" t="str">
        <x:v>R1</x:v>
      </x:c>
      <x:c r="B244" s="26" t="n">
        <x:v>46232.166666666664</x:v>
      </x:c>
      <x:c r="C244" s="25" t="n">
        <x:v>49</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c r="W244" t="str">
        <x:v>R1-240</x:v>
      </x:c>
    </x:row>
    <x:row r="245" ht="32" customHeight="1">
      <x:c r="A245" s="25" t="str">
        <x:v>R1</x:v>
      </x:c>
      <x:c r="B245" s="26" t="n">
        <x:v>46232.166666666664</x:v>
      </x:c>
      <x:c r="C245" s="25" t="n">
        <x:v>49</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c r="W245" t="str">
        <x:v>R1-241</x:v>
      </x:c>
    </x:row>
    <x:row r="246" ht="32" customHeight="1">
      <x:c r="A246" s="25" t="str">
        <x:v>R1</x:v>
      </x:c>
      <x:c r="B246" s="26" t="n">
        <x:v>46232.166666666664</x:v>
      </x:c>
      <x:c r="C246" s="25" t="n">
        <x:v>49</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c r="W246" t="str">
        <x:v>R1-242</x:v>
      </x:c>
    </x:row>
    <x:row r="247" ht="32" customHeight="1">
      <x:c r="A247" s="25" t="str">
        <x:v>R1</x:v>
      </x:c>
      <x:c r="B247" s="26" t="n">
        <x:v>46232.166666666664</x:v>
      </x:c>
      <x:c r="C247" s="25" t="n">
        <x:v>49</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c r="W247" t="str">
        <x:v>R1-243</x:v>
      </x:c>
    </x:row>
    <x:row r="248" ht="32" customHeight="1">
      <x:c r="A248" s="25" t="str">
        <x:v>R1</x:v>
      </x:c>
      <x:c r="B248" s="26" t="n">
        <x:v>46232.166666666664</x:v>
      </x:c>
      <x:c r="C248" s="25" t="n">
        <x:v>49</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c r="W248" t="str">
        <x:v>R1-244</x:v>
      </x:c>
    </x:row>
    <x:row r="249" ht="32" customHeight="1">
      <x:c r="A249" s="25" t="str">
        <x:v>R1</x:v>
      </x:c>
      <x:c r="B249" s="26" t="n">
        <x:v>46232.166666666664</x:v>
      </x:c>
      <x:c r="C249" s="25" t="n">
        <x:v>50</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c r="W249" t="str">
        <x:v>R1-245</x:v>
      </x:c>
    </x:row>
    <x:row r="250" ht="32" customHeight="1">
      <x:c r="A250" s="25" t="str">
        <x:v>R1</x:v>
      </x:c>
      <x:c r="B250" s="26" t="n">
        <x:v>46232.166666666664</x:v>
      </x:c>
      <x:c r="C250" s="25" t="n">
        <x:v>50</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c r="W250" t="str">
        <x:v>R1-246</x:v>
      </x:c>
    </x:row>
    <x:row r="251" ht="32" customHeight="1">
      <x:c r="A251" s="25" t="str">
        <x:v>R1</x:v>
      </x:c>
      <x:c r="B251" s="26" t="n">
        <x:v>46232.166666666664</x:v>
      </x:c>
      <x:c r="C251" s="25" t="n">
        <x:v>50</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c r="W251" t="str">
        <x:v>R1-247</x:v>
      </x:c>
    </x:row>
    <x:row r="252" ht="32" customHeight="1">
      <x:c r="A252" s="25" t="str">
        <x:v>R1</x:v>
      </x:c>
      <x:c r="B252" s="26" t="n">
        <x:v>46232.166666666664</x:v>
      </x:c>
      <x:c r="C252" s="25" t="n">
        <x:v>50</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c r="W252" t="str">
        <x:v>R1-248</x:v>
      </x:c>
    </x:row>
    <x:row r="253" ht="32" customHeight="1">
      <x:c r="A253" s="25" t="str">
        <x:v>R1</x:v>
      </x:c>
      <x:c r="B253" s="26" t="n">
        <x:v>46232.166666666664</x:v>
      </x:c>
      <x:c r="C253" s="25" t="n">
        <x:v>50</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c r="W253" t="str">
        <x:v>R1-249</x:v>
      </x:c>
    </x:row>
    <x:row r="254" ht="32" customHeight="1">
      <x:c r="A254" s="25" t="str">
        <x:v>R1</x:v>
      </x:c>
      <x:c r="B254" s="26" t="n">
        <x:v>46232.166666666664</x:v>
      </x:c>
      <x:c r="C254" s="25" t="n">
        <x:v>51</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c r="W254" t="str">
        <x:v>R1-250</x:v>
      </x:c>
    </x:row>
    <x:row r="255" ht="32" customHeight="1">
      <x:c r="A255" s="25" t="str">
        <x:v>R1</x:v>
      </x:c>
      <x:c r="B255" s="26" t="n">
        <x:v>46232.166666666664</x:v>
      </x:c>
      <x:c r="C255" s="25" t="n">
        <x:v>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c r="W255" t="str">
        <x:v>R1-251</x:v>
      </x:c>
    </x:row>
    <x:row r="256" ht="32" customHeight="1">
      <x:c r="A256" s="25" t="str">
        <x:v>R1</x:v>
      </x:c>
      <x:c r="B256" s="26" t="n">
        <x:v>46232.166666666664</x:v>
      </x:c>
      <x:c r="C256" s="25" t="n">
        <x:v>51</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c r="W256" t="str">
        <x:v>R1-252</x:v>
      </x:c>
    </x:row>
    <x:row r="257" ht="32" customHeight="1">
      <x:c r="A257" s="25" t="str">
        <x:v>R1</x:v>
      </x:c>
      <x:c r="B257" s="26" t="n">
        <x:v>46232.166666666664</x:v>
      </x:c>
      <x:c r="C257" s="25" t="n">
        <x:v>51</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c r="W257" t="str">
        <x:v>R1-253</x:v>
      </x:c>
    </x:row>
    <x:row r="258" ht="32" customHeight="1">
      <x:c r="A258" s="25" t="str">
        <x:v>R1</x:v>
      </x:c>
      <x:c r="B258" s="26" t="n">
        <x:v>46232.166666666664</x:v>
      </x:c>
      <x:c r="C258" s="25" t="n">
        <x:v>51</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c r="W258" t="str">
        <x:v>R1-254</x:v>
      </x:c>
    </x:row>
    <x:row r="259" ht="32" customHeight="1">
      <x:c r="A259" s="25" t="str">
        <x:v>R1</x:v>
      </x:c>
      <x:c r="B259" s="26" t="n">
        <x:v>46232.166666666664</x:v>
      </x:c>
      <x:c r="C259" s="25" t="n">
        <x:v>52</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c r="W259" t="str">
        <x:v>R1-255</x:v>
      </x:c>
    </x:row>
    <x:row r="260" ht="32" customHeight="1">
      <x:c r="A260" s="25" t="str">
        <x:v>R1</x:v>
      </x:c>
      <x:c r="B260" s="26" t="n">
        <x:v>46232.166666666664</x:v>
      </x:c>
      <x:c r="C260" s="25" t="n">
        <x:v>52</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c r="W260" t="str">
        <x:v>R1-256</x:v>
      </x:c>
    </x:row>
    <x:row r="261" ht="32" customHeight="1">
      <x:c r="A261" s="25" t="str">
        <x:v>R1</x:v>
      </x:c>
      <x:c r="B261" s="26" t="n">
        <x:v>46232.166666666664</x:v>
      </x:c>
      <x:c r="C261" s="25" t="n">
        <x:v>52</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c r="W261" t="str">
        <x:v>R1-257</x:v>
      </x:c>
    </x:row>
    <x:row r="262" ht="32" customHeight="1">
      <x:c r="A262" s="25" t="str">
        <x:v>R1</x:v>
      </x:c>
      <x:c r="B262" s="26" t="n">
        <x:v>46232.166666666664</x:v>
      </x:c>
      <x:c r="C262" s="25" t="n">
        <x:v>52</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c r="W262" t="str">
        <x:v>R1-258</x:v>
      </x:c>
    </x:row>
    <x:row r="263" ht="32" customHeight="1">
      <x:c r="A263" s="25" t="str">
        <x:v>R1</x:v>
      </x:c>
      <x:c r="B263" s="26" t="n">
        <x:v>46232.166666666664</x:v>
      </x:c>
      <x:c r="C263" s="25" t="n">
        <x:v>52</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c r="W263" t="str">
        <x:v>R1-259</x:v>
      </x:c>
    </x:row>
    <x:row r="264" ht="32" customHeight="1">
      <x:c r="A264" s="25" t="str">
        <x:v>R1</x:v>
      </x:c>
      <x:c r="B264" s="26" t="n">
        <x:v>46232.166666666664</x:v>
      </x:c>
      <x:c r="C264" s="25" t="n">
        <x:v>53</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c r="W264" t="str">
        <x:v>R1-260</x:v>
      </x:c>
    </x:row>
    <x:row r="265" ht="32" customHeight="1">
      <x:c r="A265" s="25" t="str">
        <x:v>R1</x:v>
      </x:c>
      <x:c r="B265" s="26" t="n">
        <x:v>46232.166666666664</x:v>
      </x:c>
      <x:c r="C265" s="25" t="n">
        <x:v>53</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c r="W265" t="str">
        <x:v>R1-261</x:v>
      </x:c>
    </x:row>
    <x:row r="266" ht="32" customHeight="1">
      <x:c r="A266" s="25" t="str">
        <x:v>R1</x:v>
      </x:c>
      <x:c r="B266" s="26" t="n">
        <x:v>46232.166666666664</x:v>
      </x:c>
      <x:c r="C266" s="25" t="n">
        <x:v>53</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c r="W266" t="str">
        <x:v>R1-262</x:v>
      </x:c>
    </x:row>
    <x:row r="267" ht="32" customHeight="1">
      <x:c r="A267" s="25" t="str">
        <x:v>R1</x:v>
      </x:c>
      <x:c r="B267" s="26" t="n">
        <x:v>46232.166666666664</x:v>
      </x:c>
      <x:c r="C267" s="25" t="n">
        <x:v>53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c r="W267" t="str">
        <x:v>R1-263</x:v>
      </x:c>
    </x:row>
    <x:row r="268" ht="32" customHeight="1">
      <x:c r="A268" s="25" t="str">
        <x:v>R1</x:v>
      </x:c>
      <x:c r="B268" s="26" t="n">
        <x:v>46232.166666666664</x:v>
      </x:c>
      <x:c r="C268" s="25" t="n">
        <x:v>53</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c r="W268" t="str">
        <x:v>R1-264</x:v>
      </x:c>
    </x:row>
    <x:row r="269" ht="32" customHeight="1">
      <x:c r="A269" s="25" t="str">
        <x:v>R1</x:v>
      </x:c>
      <x:c r="B269" s="26" t="n">
        <x:v>46232.166666666664</x:v>
      </x:c>
      <x:c r="C269" s="25" t="n">
        <x:v>54</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c r="W269" t="str">
        <x:v>R1-265</x:v>
      </x:c>
    </x:row>
    <x:row r="270" ht="32" customHeight="1">
      <x:c r="A270" s="25" t="str">
        <x:v>R1</x:v>
      </x:c>
      <x:c r="B270" s="26" t="n">
        <x:v>46232.166666666664</x:v>
      </x:c>
      <x:c r="C270" s="25" t="n">
        <x:v>54</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c r="W270" t="str">
        <x:v>R1-266</x:v>
      </x:c>
    </x:row>
    <x:row r="271" ht="32" customHeight="1">
      <x:c r="A271" s="25" t="str">
        <x:v>R1</x:v>
      </x:c>
      <x:c r="B271" s="26" t="n">
        <x:v>46232.166666666664</x:v>
      </x:c>
      <x:c r="C271" s="25" t="n">
        <x:v>54</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c r="W271" t="str">
        <x:v>R1-267</x:v>
      </x:c>
    </x:row>
    <x:row r="272" ht="32" customHeight="1">
      <x:c r="A272" s="25" t="str">
        <x:v>R1</x:v>
      </x:c>
      <x:c r="B272" s="26" t="n">
        <x:v>46232.166666666664</x:v>
      </x:c>
      <x:c r="C272" s="25" t="n">
        <x:v>54</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c r="W272" t="str">
        <x:v>R1-268</x:v>
      </x:c>
    </x:row>
    <x:row r="273" ht="32" customHeight="1">
      <x:c r="A273" s="25" t="str">
        <x:v>R1</x:v>
      </x:c>
      <x:c r="B273" s="26" t="n">
        <x:v>46232.166666666664</x:v>
      </x:c>
      <x:c r="C273" s="25" t="n">
        <x:v>54</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c r="W273" t="str">
        <x:v>R1-269</x:v>
      </x:c>
    </x:row>
    <x:row r="274" ht="32" customHeight="1">
      <x:c r="A274" s="25" t="str">
        <x:v>R1</x:v>
      </x:c>
      <x:c r="B274" s="26" t="n">
        <x:v>46232.166666666664</x:v>
      </x:c>
      <x:c r="C274" s="25" t="n">
        <x:v>55</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c r="W274" t="str">
        <x:v>R1-270</x:v>
      </x:c>
    </x:row>
    <x:row r="275" ht="32" customHeight="1">
      <x:c r="A275" s="25" t="str">
        <x:v>R1</x:v>
      </x:c>
      <x:c r="B275" s="26" t="n">
        <x:v>46232.166666666664</x:v>
      </x:c>
      <x:c r="C275" s="25" t="n">
        <x:v>55</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c r="W275" t="str">
        <x:v>R1-271</x:v>
      </x:c>
    </x:row>
    <x:row r="276" ht="32" customHeight="1">
      <x:c r="A276" s="25" t="str">
        <x:v>R1</x:v>
      </x:c>
      <x:c r="B276" s="26" t="n">
        <x:v>46232.166666666664</x:v>
      </x:c>
      <x:c r="C276" s="25" t="n">
        <x:v>55</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c r="W276" t="str">
        <x:v>R1-272</x:v>
      </x:c>
    </x:row>
    <x:row r="277" ht="32" customHeight="1">
      <x:c r="A277" s="25" t="str">
        <x:v>R1</x:v>
      </x:c>
      <x:c r="B277" s="26" t="n">
        <x:v>46232.166666666664</x:v>
      </x:c>
      <x:c r="C277" s="25" t="n">
        <x:v>55</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c r="W277" t="str">
        <x:v>R1-273</x:v>
      </x:c>
    </x:row>
    <x:row r="278" ht="32" customHeight="1">
      <x:c r="A278" s="25" t="str">
        <x:v>R1</x:v>
      </x:c>
      <x:c r="B278" s="26" t="n">
        <x:v>46232.166666666664</x:v>
      </x:c>
      <x:c r="C278" s="25" t="n">
        <x:v>55</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c r="W278" t="str">
        <x:v>R1-274</x:v>
      </x:c>
    </x:row>
    <x:row r="279">
      <x:c r="A279" t="str">
        <x:v>R2</x:v>
      </x:c>
      <x:c r="B279" s="30" t="n">
        <x:v>46245</x:v>
      </x:c>
      <x:c r="C279" t="n">
        <x:v>2</x:v>
      </x:c>
      <x:c r="D279" t="str">
        <x:v>工业炉节能改造厂家</x:v>
      </x:c>
      <x:c r="E279" t="str">
        <x:v>非品牌词</x:v>
      </x:c>
      <x:c r="F279" t="str">
        <x:v>未记录</x:v>
      </x:c>
      <x:c r="G279" t="str">
        <x:v>豆包</x:v>
      </x:c>
      <x:c r="H279" t="str">
        <x:v>否</x:v>
      </x:c>
      <x:c r="I279" t="str">
        <x:v>否</x:v>
      </x:c>
      <x:c r="J279" t="n">
        <x:v>0</x:v>
      </x:c>
      <x:c r="K279" t="str">
        <x:v>https://www.chinanecc.cn/upload/File/1410508395515.pdf</x:v>
      </x:c>
      <x:c r="L279" t="str">
        <x:v>https://ceri.com.cn/ywcp/yjyw/ggss/</x:v>
      </x:c>
      <x:c r="M279" t="str">
        <x:v>https://www.gmpsp.org.cn/portal/article/index/id/4296/cid/109.html</x:v>
      </x:c>
      <x:c r="N279" t="str">
        <x:v>https://www.douyin.com/video/7642674234041457524?previous_page=app_code_link</x:v>
      </x:c>
      <x:c r="O279" t="str">
        <x:v>https://gxt.hebei.gov.cn/hbgyhxxht/ztzl11/jyzq/sjz/2025121510055358225/index.html</x:v>
      </x:c>
      <x:c r="P279" t="str">
        <x:v>https://www.miit.gov.cn/cms_files/filemanager/oldfile/miit/n1278117/n1648113/c3870738/part/3870739.pdf</x:v>
      </x:c>
      <x:c r="Q279" t="str">
        <x:v>https://www.maigoo.com/best/44185.html</x:v>
      </x:c>
      <x:c r="R279" t="str">
        <x:v>https://bj.lieju.com/qitashangwufuwu/93714761.html</x:v>
      </x:c>
      <x:c r="S279" t="str">
        <x:v>https://www.docin.com/p-4944444001.html</x:v>
      </x:c>
      <x:c r="T279" t="str">
        <x:v>https://www.douyin.com/video/7669710643691392256</x:v>
      </x:c>
      <x:c r="U279" t="str">
        <x:v>pasted-text.txt（附件 222c8694-8d40-448b-b896-fa07be3fb543）</x:v>
      </x:c>
      <x:c r="V279" t="str">
        <x:v>引用源11-15：https://www.yulicorp.com/ | http://www.hehenengyuan.com/about/qualifications.html | https://www.miit.gov.cn/n1146285/n1146352/n3054355/n3057542/n3057545/c3650598/part/3650600.pdf | https://dataintelo.com/report/fired-heater-revamp-services-market | https://www.cdjnhy.com/p-about.html；证据完整性：有/无标签与引用网址已归档；完整回答正文/截图未提供</x:v>
      </x:c>
      <x:c r="W279" t="str">
        <x:v>R2-001</x:v>
      </x:c>
    </x:row>
    <x:row r="280">
      <x:c r="A280" t="str">
        <x:v>R2</x:v>
      </x:c>
      <x:c r="B280" s="30" t="n">
        <x:v>46245</x:v>
      </x:c>
      <x:c r="C280" t="n">
        <x:v>2</x:v>
      </x:c>
      <x:c r="D280" t="str">
        <x:v>工业炉节能改造厂家</x:v>
      </x:c>
      <x:c r="E280" t="str">
        <x:v>非品牌词</x:v>
      </x:c>
      <x:c r="F280" t="str">
        <x:v>未记录</x:v>
      </x:c>
      <x:c r="G280" t="str">
        <x:v>DeepSeek</x:v>
      </x:c>
      <x:c r="H280" t="str">
        <x:v>否</x:v>
      </x:c>
      <x:c r="I280" t="str">
        <x:v>否</x:v>
      </x:c>
      <x:c r="J280" t="n">
        <x:v>0</x:v>
      </x:c>
      <x:c r="K280" t="str">
        <x:v>https://www.glass.com.cn/gogo138/profile.html</x:v>
      </x:c>
      <x:c r="L280" t="str">
        <x:v>https://baike.baidu.com/item/%E5%8C%97%E4%BA%AC%E7%A7%91%E5%A4%A7%E8%B5%9B%E8%83%BD%E6%9D%B0/12777135</x:v>
      </x:c>
      <x:c r="M280" t="str">
        <x:v>https://www.toutiao.com/article/7560603427894575650/?wid=1783663282405</x:v>
      </x:c>
      <x:c r="N280" t="str">
        <x:v>http://www.11467.com/maanshan/co/5076.htm</x:v>
      </x:c>
      <x:c r="O280" t="str">
        <x:v>https://baike.baidu.com/item/%E5%8D%97%E4%BA%AC%E4%B8%AD%E5%B1%B1%E5%B7%A5%E4%B8%9A%E7%82%89%E5%B7%A5%E7%A8%8B%E6%9C%89%E9%99%90%E5%85%AC%E5%8F%B8</x:v>
      </x:c>
      <x:c r="P280" t="str">
        <x:v>http://ynjn.yn.gov.cn/cnMb/jnzs/8615.html</x:v>
      </x:c>
      <x:c r="Q280" t="str">
        <x:v>http://www.hvacr.cn/companys/15934436.html</x:v>
      </x:c>
      <x:c r="R280" t="str">
        <x:v>https://baike.baidu.com/item/%E5%B8%B8%E5%B7%9E%E5%B8%82%E8%8B%8F%E8%83%BD%E5%B7%A5%E4%B8%9A%E7%82%89%E6%8A%80%E6%9C%AF%E6%9C%89%E9%99%90%E5%85%AC%E5%8F%B8</x:v>
      </x:c>
      <x:c r="S280" t="str">
        <x:v>http://www.gongkong.com/article/202606/115024.html</x:v>
      </x:c>
      <x:c r="T280" t="str">
        <x:v>https://baike.baidu.com/item/%E5%9B%9B%E5%B7%9D%E7%A7%91%E8%BE%BE%E8%8A%82%E8%83%BD%E6%8A%80%E6%9C%AF%E6%9C%89%E9%99%90%E5%85%AC%E5%8F%B8</x:v>
      </x:c>
      <x:c r="U280" t="str">
        <x:v>pasted-text.txt（附件 222c8694-8d40-448b-b896-fa07be3fb543）</x:v>
      </x:c>
      <x:c r="V280" t="str">
        <x:v>含“常州市苏能工业炉技术有限公司”百科来源，存在同名实体混淆线索；引用源11-15：http://www.cnpowder.com.cn/show/ns31956/product_327372.html | https://www.metallurgy-expo.com.cn/0181.html；证据完整性：有/无标签与引用网址已归档；完整回答正文/截图未提供</x:v>
      </x:c>
      <x:c r="W280" t="str">
        <x:v>R2-002</x:v>
      </x:c>
    </x:row>
    <x:row r="281">
      <x:c r="A281" t="str">
        <x:v>R2</x:v>
      </x:c>
      <x:c r="B281" s="30" t="n">
        <x:v>46245</x:v>
      </x:c>
      <x:c r="C281" t="n">
        <x:v>2</x:v>
      </x:c>
      <x:c r="D281" t="str">
        <x:v>工业炉节能改造厂家</x:v>
      </x:c>
      <x:c r="E281" t="str">
        <x:v>非品牌词</x:v>
      </x:c>
      <x:c r="F281" t="str">
        <x:v>未记录</x:v>
      </x:c>
      <x:c r="G281" t="str">
        <x:v>元宝</x:v>
      </x:c>
      <x:c r="H281" t="str">
        <x:v>否</x:v>
      </x:c>
      <x:c r="I281" t="str">
        <x:v>否</x:v>
      </x:c>
      <x:c r="J281" t="n">
        <x:v>0</x:v>
      </x:c>
      <x:c r="K281" t="str">
        <x:v>https://www.zgswcn.com/shangxun/news.html?aid=623033</x:v>
      </x:c>
      <x:c r="L281" t="str">
        <x:v>https://www.hc-heattech.com/nav14-67.html</x:v>
      </x:c>
      <x:c r="M281" t="str">
        <x:v>https://www.hangyeob.com/archives/146920.html</x:v>
      </x:c>
      <x:c r="N281" t="str">
        <x:v>https://www.hangyeob.com/archives/158690.html</x:v>
      </x:c>
      <x:c r="O281" t="str">
        <x:v>https://www.11467.com/qiye/30630430.htm</x:v>
      </x:c>
      <x:c r="P281" t="str">
        <x:v>https://www.hangyeob.com/archives/174298.html</x:v>
      </x:c>
      <x:c r="Q281" t="str">
        <x:v>http://www.jzdushiw.cn/xinwen/1290714.html</x:v>
      </x:c>
      <x:c r="R281" t="str">
        <x:v>https://www.toutiao.com/article/7611995689279373843/?&amp;source=m_redirect&amp;wid=1786418267343</x:v>
      </x:c>
      <x:c r="S281" t="str">
        <x:v>http://www.425325.com/</x:v>
      </x:c>
      <x:c r="T281" t="str">
        <x:v>https://fs.m2.com.cn/shop/20686580</x:v>
      </x:c>
      <x:c r="U281" t="str">
        <x:v>pasted-text.txt（附件 222c8694-8d40-448b-b896-fa07be3fb543）</x:v>
      </x:c>
      <x:c r="V281" t="str">
        <x:v>引用源11-15：http://www.chinakiln.net/sell/201304/17/sell_info_9919.html | https://m.maigoo.com/maigoo/10248gyl_index.html | http://m.qy6.com.cn/company-aqihuang.html | http://m.qy6.com.cn/company-aqihuang.html | https://www.jdzol.com/detuiyi/Article-P2ANQHyj-550.html；证据完整性：有/无标签与引用网址已归档；完整回答正文/截图未提供</x:v>
      </x:c>
      <x:c r="W281" t="str">
        <x:v>R2-003</x:v>
      </x:c>
    </x:row>
    <x:row r="282">
      <x:c r="A282" t="str">
        <x:v>R2</x:v>
      </x:c>
      <x:c r="B282" s="30" t="n">
        <x:v>46245</x:v>
      </x:c>
      <x:c r="C282" t="n">
        <x:v>3</x:v>
      </x:c>
      <x:c r="D282" t="str">
        <x:v>老旧热处理炉改造还是新买</x:v>
      </x:c>
      <x:c r="E282" t="str">
        <x:v>非品牌词</x:v>
      </x:c>
      <x:c r="F282" t="str">
        <x:v>未记录</x:v>
      </x:c>
      <x:c r="G282" t="str">
        <x:v>豆包</x:v>
      </x:c>
      <x:c r="H282" t="str">
        <x:v>否</x:v>
      </x:c>
      <x:c r="I282" t="str">
        <x:v>否</x:v>
      </x:c>
      <x:c r="J282" t="n">
        <x:v>0</x:v>
      </x:c>
      <x:c r="K282" t="str">
        <x:v>https://www.douyin.com/video/7496065647261044020</x:v>
      </x:c>
      <x:c r="L282" t="str">
        <x:v>https://www.douyin.com/video/7663394771385520357?previous_page=app_code_link</x:v>
      </x:c>
      <x:c r="M282" t="str">
        <x:v>https://www.douyin.com/video/7672317710798549873</x:v>
      </x:c>
      <x:c r="N282" t="str">
        <x:v>https://horizonpfm.com/blog/retrofit-vs-replacement-worksheethow-to-decide-heat-processing-equipment/</x:v>
      </x:c>
      <x:c r="O282" t="str">
        <x:v>https://www.leybold.cn/zh-cn/knowledge/blog/new-heat-treat-furnace</x:v>
      </x:c>
      <x:c r="P282" t="str">
        <x:v>https://mf.mw1950.com/en/article/pdf/preview/e6b590cb-d144-4b35-ac79-c96c048fb5bb.pdf</x:v>
      </x:c>
      <x:c r="Q282" t="str">
        <x:v>https://www.ecoreheating.com/blog/preventing-downtime-auditing-heat-loss-legacy-furnaces</x:v>
      </x:c>
      <x:c r="R282" t="str">
        <x:v>https://www.docin.com/p-4945642878.html</x:v>
      </x:c>
      <x:c r="S282" t="str">
        <x:v>https://www.ggzzchina.com/cn/article/pdf/preview/9e5ecbb2-ac9f-45f6-8f44-c721c2fa54aa.pdf</x:v>
      </x:c>
      <x:c r="T282" t="str">
        <x:v>https://www.lyhryl.com/index.php/newsinfo/870.html</x:v>
      </x:c>
      <x:c r="U282" t="str">
        <x:v>pasted-text.txt（附件 222c8694-8d40-448b-b896-fa07be3fb543）</x:v>
      </x:c>
      <x:c r="V282" t="str">
        <x:v>引用源11-15：https://www.lyhryl.com/index.php/newsinfo/870.html | https://m.chem17.com/st561240/article_4518277.html | https://www.docin.com/p-4921615746.html | http://www.yuguangkiln.com/3g/show.asp?m=1&amp;d=3185 | https://www.foreverfurnace.com/news/intelligent-slab-induction-heat-treatment-production-line.html；证据完整性：有/无标签与引用网址已归档；完整回答正文/截图未提供</x:v>
      </x:c>
      <x:c r="W282" t="str">
        <x:v>R2-004</x:v>
      </x:c>
    </x:row>
    <x:row r="283">
      <x:c r="A283" t="str">
        <x:v>R2</x:v>
      </x:c>
      <x:c r="B283" s="30" t="n">
        <x:v>46245</x:v>
      </x:c>
      <x:c r="C283" t="n">
        <x:v>3</x:v>
      </x:c>
      <x:c r="D283" t="str">
        <x:v>老旧热处理炉改造还是新买</x:v>
      </x:c>
      <x:c r="E283" t="str">
        <x:v>非品牌词</x:v>
      </x:c>
      <x:c r="F283" t="str">
        <x:v>未记录</x:v>
      </x:c>
      <x:c r="G283" t="str">
        <x:v>DeepSeek</x:v>
      </x:c>
      <x:c r="H283" t="str">
        <x:v>否</x:v>
      </x:c>
      <x:c r="I283" t="str">
        <x:v>否</x:v>
      </x:c>
      <x:c r="J283" t="n">
        <x:v>0</x:v>
      </x:c>
      <x:c r="K283" t="str">
        <x:v>https://hwjrgz.chem17.com/tech/4514015.html</x:v>
      </x:c>
      <x:c r="L283" t="str">
        <x:v>https://news.steelhome.com/2025/07/09/n4490962.html?type=old</x:v>
      </x:c>
      <x:c r="M283" t="str">
        <x:v>https://www.auto1950.com/cn/article/pdf/preview/31fd6c75-3db6-4fe5-8890-ddc1efc766b2.pdf#1#1</x:v>
      </x:c>
      <x:c r="N283" t="str">
        <x:v>http://www.rclbbs.com/forum.php?mod=viewthread&amp;tid=14287&amp;page=12&amp;authorid=34492</x:v>
      </x:c>
      <x:c r="O283" t="str">
        <x:v>https://www.steelhome.com/detailspage.php?nid=4490962&amp;ntype=n</x:v>
      </x:c>
      <x:c r="P283" t="str">
        <x:v>https://wap.cnki.net/touch/web/Journal/Article/GCJS603.004.html</x:v>
      </x:c>
      <x:c r="Q283" t="str">
        <x:v>https://www.asminternational.org/heat-treat-mexico-2024/wp-content/uploads/sites/55/2024/02/Thomas-Wilkins-Surface-Combustion.pdf#1#1</x:v>
      </x:c>
      <x:c r="R283" t="str">
        <x:v>https://wap.cnki.net/huiyi-ZGJS201011003104.html</x:v>
      </x:c>
      <x:c r="S283" t="str">
        <x:v>https://www.avic.com/mobile/c/2026-04-14/642550.shtml</x:v>
      </x:c>
      <x:c r="T283" t="str">
        <x:v>https://www.zystgy.cn/a/56246</x:v>
      </x:c>
      <x:c r="U283" t="str">
        <x:v>pasted-text.txt（附件 222c8694-8d40-448b-b896-fa07be3fb543）</x:v>
      </x:c>
      <x:c r="V283" t="str">
        <x:v>引用源11-15：http://www.julang.com.cn/reculi/newsdetail.asp?nid=3746；证据完整性：有/无标签与引用网址已归档；完整回答正文/截图未提供</x:v>
      </x:c>
      <x:c r="W283" t="str">
        <x:v>R2-005</x:v>
      </x:c>
    </x:row>
    <x:row r="284">
      <x:c r="A284" t="str">
        <x:v>R2</x:v>
      </x:c>
      <x:c r="B284" s="30" t="n">
        <x:v>46245</x:v>
      </x:c>
      <x:c r="C284" t="n">
        <x:v>3</x:v>
      </x:c>
      <x:c r="D284" t="str">
        <x:v>老旧热处理炉改造还是新买</x:v>
      </x:c>
      <x:c r="E284" t="str">
        <x:v>非品牌词</x:v>
      </x:c>
      <x:c r="F284" t="str">
        <x:v>未记录</x:v>
      </x:c>
      <x:c r="G284" t="str">
        <x:v>元宝</x:v>
      </x:c>
      <x:c r="H284" t="str">
        <x:v>是</x:v>
      </x:c>
      <x:c r="I284" t="str">
        <x:v>是</x:v>
      </x:c>
      <x:c r="J284" t="n">
        <x:v>3</x:v>
      </x:c>
      <x:c r="K284" t="str">
        <x:v>https://www.jssngyl.cn/zh/articles/laojiu-rechuli-lu-daxiu-haishi-maixin</x:v>
      </x:c>
      <x:c r="L284" t="str">
        <x:v>http://ynjn.yn.gov.cn/cnPc/jnzs/7598.html</x:v>
      </x:c>
      <x:c r="M284" t="str">
        <x:v>https://news.qq.com/rain/a/20260616A044ZT00?refer=cp_1009</x:v>
      </x:c>
      <x:c r="N284" t="str">
        <x:v>https://www.jssngyl.cn/zh/news/lao-jiu-re-chu-li-lu-shi-da-xiu-hao-hai-shi-zhi-jie-mai-xin-de-pan-duan-biao-zhun-he-gai-zao-fang-an-zen-me-xuan</x:v>
      </x:c>
      <x:c r="O284" t="str">
        <x:v>https://images.mofcom.gov.cn/bgt/201404/20140402153411423.pdf</x:v>
      </x:c>
      <x:c r="P284" t="str">
        <x:v>https://mp.weixin.qq.com/s?src=11&amp;timestamp=1786423222&amp;ver=6897&amp;signature=zajubEKbhNu8f*9r-8htmkm*VviIw3DlbuHApT1CnUeb9bkpEzlu1NGWdD56-akxXVeixuh4CplVlE1ADWiEHkEYEpGRHAWwZBDFfhrf-YTRHITWE9VgzQKCeP3cTKct&amp;new=1</x:v>
      </x:c>
      <x:c r="Q284" t="str">
        <x:v>https://www.asminternational.org/heat-treat-mexico-2024/wp-content/uploads/sites/55/2024/02/Thomas-Wilkins-Surface-Combustion.pdf#1#1</x:v>
      </x:c>
      <x:c r="R284" t="str">
        <x:v>http://big5.www.gov.cn/gate/big5/www.gov.cn/zhengce/zhengceku/202404/content_6944252.htm</x:v>
      </x:c>
      <x:c r="S284" t="str">
        <x:v>https://anmaichuban.com/static/upload/file/20260316/1773638653452411.pdf</x:v>
      </x:c>
      <x:c r="T284" t="str">
        <x:v>https://www.mee.gov.cn/xxgk2018/xxgk/xxgk03/201907/t20190712_709309.html</x:v>
      </x:c>
      <x:c r="U284" t="str">
        <x:v>pasted-text.txt（附件 222c8694-8d40-448b-b896-fa07be3fb543）</x:v>
      </x:c>
      <x:c r="V284" t="str">
        <x:v>引用源11-15：https://www.avic.com/mobile/c/2026-04-14/642550.shtml | https://gxj.suqian.gov.cn/sjxw/tzgg/202507/9f40c92d06794f45bce931b9f0921ecf.shtml | https://max.book118.com/html/2026/0405/5034341311013143.shtm | https://www.cbmma.com.cn/cma/detail.html?id=84&amp;contentId=770 | http://www.yiwu.com.cn/zixun/Article-jpWUBo-793200.html；证据完整性：有/无标签与引用网址已归档；完整回答正文/截图未提供</x:v>
      </x:c>
      <x:c r="W284" t="str">
        <x:v>R2-006</x:v>
      </x:c>
    </x:row>
    <x:row r="285">
      <x:c r="A285" t="str">
        <x:v>R2</x:v>
      </x:c>
      <x:c r="B285" s="30" t="n">
        <x:v>46245</x:v>
      </x:c>
      <x:c r="C285" t="n">
        <x:v>7</x:v>
      </x:c>
      <x:c r="D285" t="str">
        <x:v>热处理炉温度不均怎么整改</x:v>
      </x:c>
      <x:c r="E285" t="str">
        <x:v>非品牌词</x:v>
      </x:c>
      <x:c r="F285" t="str">
        <x:v>未记录</x:v>
      </x:c>
      <x:c r="G285" t="str">
        <x:v>豆包</x:v>
      </x:c>
      <x:c r="H285" t="str">
        <x:v>否</x:v>
      </x:c>
      <x:c r="I285" t="str">
        <x:v>否</x:v>
      </x:c>
      <x:c r="J285" t="n">
        <x:v>0</x:v>
      </x:c>
      <x:c r="K285"/>
      <x:c r="L285"/>
      <x:c r="M285"/>
      <x:c r="N285"/>
      <x:c r="O285"/>
      <x:c r="P285"/>
      <x:c r="Q285"/>
      <x:c r="R285"/>
      <x:c r="S285"/>
      <x:c r="T285"/>
      <x:c r="U285" t="str">
        <x:v>pasted-text.txt（附件 222c8694-8d40-448b-b896-fa07be3fb543）</x:v>
      </x:c>
      <x:c r="V285" t="str">
        <x:v>来源网址未记录；证据完整性：有/无标签与引用网址已归档；完整回答正文/截图未提供</x:v>
      </x:c>
      <x:c r="W285" t="str">
        <x:v>R2-007</x:v>
      </x:c>
    </x:row>
    <x:row r="286">
      <x:c r="A286" t="str">
        <x:v>R2</x:v>
      </x:c>
      <x:c r="B286" s="30" t="n">
        <x:v>46245</x:v>
      </x:c>
      <x:c r="C286" t="n">
        <x:v>7</x:v>
      </x:c>
      <x:c r="D286" t="str">
        <x:v>热处理炉温度不均怎么整改</x:v>
      </x:c>
      <x:c r="E286" t="str">
        <x:v>非品牌词</x:v>
      </x:c>
      <x:c r="F286" t="str">
        <x:v>未记录</x:v>
      </x:c>
      <x:c r="G286" t="str">
        <x:v>DeepSeek</x:v>
      </x:c>
      <x:c r="H286" t="str">
        <x:v>否</x:v>
      </x:c>
      <x:c r="I286" t="str">
        <x:v>否</x:v>
      </x:c>
      <x:c r="J286" t="n">
        <x:v>0</x:v>
      </x:c>
      <x:c r="K286" t="str">
        <x:v>https://wap.cnki.net/touch/web/Journal/Article/YJLY199905013.html</x:v>
      </x:c>
      <x:c r="L286" t="str">
        <x:v>https://www.cnki.com.cn/Article/CJFDTOTAL-JSRC202502043.htm</x:v>
      </x:c>
      <x:c r="M286" t="str">
        <x:v>http://jxyj1978.com/article/doi/10.16576/j.ISSN.1007-4414.2026.04.007?viewType=citedby-info</x:v>
      </x:c>
      <x:c r="N286" t="str">
        <x:v>http://dianda.cqvip.com/Qikan/Article/Detail?id=7106800845</x:v>
      </x:c>
      <x:c r="O286" t="str">
        <x:v>https://d.wanfangdata.com.cn/periodical/gyjr201405010</x:v>
      </x:c>
      <x:c r="P286" t="str">
        <x:v>https://d.wanfangdata.com.cn/periodical/szyxsj202410007</x:v>
      </x:c>
      <x:c r="Q286" t="str">
        <x:v>http://rjggy.net/cn/article/pdf/preview/10.14158/j.cnki.1001-3814.20201075.pdf#2#1</x:v>
      </x:c>
      <x:c r="R286" t="str">
        <x:v>http://www.gmachineinfo.com/zhqkdetail.aspx?id=309575098</x:v>
      </x:c>
      <x:c r="S286" t="str">
        <x:v>http://cjournal.hep.com.cn/1671-6620/CN/1179741698252776236</x:v>
      </x:c>
      <x:c r="T286" t="str">
        <x:v>https://d.wanfangdata.com.cn/periodical/ChdQZXJpb2RpY2FsQ0hJU29scjlRdWljaxITYnR6eWpzeHl4YjIwMjUwNDAxMhoIOWl1MW02Y3o%3D</x:v>
      </x:c>
      <x:c r="U286" t="str">
        <x:v>pasted-text.txt（附件 222c8694-8d40-448b-b896-fa07be3fb543）</x:v>
      </x:c>
      <x:c r="V286" t="str">
        <x:v>引用源11-15：https://wap.cnki.net/touch/web/Journal/Article/HLGX199401010.html | https://m.qikan.cqvip.com/article/ArticleDetail?id=7202323467；证据完整性：有/无标签与引用网址已归档；完整回答正文/截图未提供</x:v>
      </x:c>
      <x:c r="W286" t="str">
        <x:v>R2-008</x:v>
      </x:c>
    </x:row>
    <x:row r="287">
      <x:c r="A287" t="str">
        <x:v>R2</x:v>
      </x:c>
      <x:c r="B287" s="30" t="n">
        <x:v>46245</x:v>
      </x:c>
      <x:c r="C287" t="n">
        <x:v>7</x:v>
      </x:c>
      <x:c r="D287" t="str">
        <x:v>热处理炉温度不均怎么整改</x:v>
      </x:c>
      <x:c r="E287" t="str">
        <x:v>非品牌词</x:v>
      </x:c>
      <x:c r="F287" t="str">
        <x:v>未记录</x:v>
      </x:c>
      <x:c r="G287" t="str">
        <x:v>元宝</x:v>
      </x:c>
      <x:c r="H287" t="str">
        <x:v>否</x:v>
      </x:c>
      <x:c r="I287" t="str">
        <x:v>否</x:v>
      </x:c>
      <x:c r="J287" t="n">
        <x:v>0</x:v>
      </x:c>
      <x:c r="K287" t="str">
        <x:v>http://www.dtfhly.com/news/602.html</x:v>
      </x:c>
      <x:c r="L287" t="str">
        <x:v>http://www.dnrmfl.com/Article-4457450.html</x:v>
      </x:c>
      <x:c r="M287" t="str">
        <x:v>https://www.beijianzhongxin.com/qt/xn/155932/</x:v>
      </x:c>
      <x:c r="N287" t="str">
        <x:v>https://www.qiyeku.cn/xinwen/10784364.html</x:v>
      </x:c>
      <x:c r="O287" t="str">
        <x:v>https://www.chem17.com/tech_news/detail/4364829.html</x:v>
      </x:c>
      <x:c r="P287" t="str">
        <x:v>https://scjgj.shanxi.gov.cn/zwgk/jgfl/gstg/202408/P020240827595137374157.pdf</x:v>
      </x:c>
      <x:c r="Q287" t="str">
        <x:v>https://re-atlantis.tw/zh-hant/furnace-temperature-distribution-solution</x:v>
      </x:c>
      <x:c r="R287" t="str">
        <x:v>https://www.longjingzk.com/news/814.html</x:v>
      </x:c>
      <x:c r="S287" t="str">
        <x:v>http://www.czdyrcl.com/news/183082.html</x:v>
      </x:c>
      <x:c r="T287" t="str">
        <x:v>https://fsgmdg.com/s001news/10262</x:v>
      </x:c>
      <x:c r="U287" t="str">
        <x:v>pasted-text.txt（附件 222c8694-8d40-448b-b896-fa07be3fb543）</x:v>
      </x:c>
      <x:c r="V287" t="str">
        <x:v>引用源11-15：https://ipsenglobal.com/es/knowledge-center/using-digitrim-to-achieve-temperature-uniformity/ | https://www.carpentertechnology.com/blog/forging-difficult-alloys | http://www.dnrmfl.com/Article-4098319.html | http://www.yingdamai.com/news_xx.asp?msg=178 | https://www.antpedia.com/standard/1613479179-10.html；证据完整性：有/无标签与引用网址已归档；完整回答正文/截图未提供</x:v>
      </x:c>
      <x:c r="W287" t="str">
        <x:v>R2-009</x:v>
      </x:c>
    </x:row>
    <x:row r="288">
      <x:c r="A288" t="str">
        <x:v>R2</x:v>
      </x:c>
      <x:c r="B288" s="30" t="n">
        <x:v>46245</x:v>
      </x:c>
      <x:c r="C288" t="n">
        <x:v>8</x:v>
      </x:c>
      <x:c r="D288" t="str">
        <x:v>工业炉耗电量高怎么改造</x:v>
      </x:c>
      <x:c r="E288" t="str">
        <x:v>非品牌词</x:v>
      </x:c>
      <x:c r="F288" t="str">
        <x:v>未记录</x:v>
      </x:c>
      <x:c r="G288" t="str">
        <x:v>豆包</x:v>
      </x:c>
      <x:c r="H288" t="str">
        <x:v>否</x:v>
      </x:c>
      <x:c r="I288" t="str">
        <x:v>否</x:v>
      </x:c>
      <x:c r="J288" t="n">
        <x:v>0</x:v>
      </x:c>
      <x:c r="K288"/>
      <x:c r="L288"/>
      <x:c r="M288"/>
      <x:c r="N288"/>
      <x:c r="O288"/>
      <x:c r="P288"/>
      <x:c r="Q288"/>
      <x:c r="R288"/>
      <x:c r="S288"/>
      <x:c r="T288"/>
      <x:c r="U288" t="str">
        <x:v>pasted-text.txt（附件 222c8694-8d40-448b-b896-fa07be3fb543）</x:v>
      </x:c>
      <x:c r="V288" t="str">
        <x:v>来源网址未记录；证据完整性：有/无标签与引用网址已归档；完整回答正文/截图未提供</x:v>
      </x:c>
      <x:c r="W288" t="str">
        <x:v>R2-010</x:v>
      </x:c>
    </x:row>
    <x:row r="289">
      <x:c r="A289" t="str">
        <x:v>R2</x:v>
      </x:c>
      <x:c r="B289" s="30" t="n">
        <x:v>46245</x:v>
      </x:c>
      <x:c r="C289" t="n">
        <x:v>8</x:v>
      </x:c>
      <x:c r="D289" t="str">
        <x:v>工业炉耗电量高怎么改造</x:v>
      </x:c>
      <x:c r="E289" t="str">
        <x:v>非品牌词</x:v>
      </x:c>
      <x:c r="F289" t="str">
        <x:v>未记录</x:v>
      </x:c>
      <x:c r="G289" t="str">
        <x:v>DeepSeek</x:v>
      </x:c>
      <x:c r="H289" t="str">
        <x:v>否</x:v>
      </x:c>
      <x:c r="I289" t="str">
        <x:v>否</x:v>
      </x:c>
      <x:c r="J289" t="n">
        <x:v>0</x:v>
      </x:c>
      <x:c r="K289" t="str">
        <x:v>http://ynjn.yn.gov.cn/cnMb/jnzs/8615.html</x:v>
      </x:c>
      <x:c r="L289" t="str">
        <x:v>https://m.china-mcc.com/prod_show-147683.html</x:v>
      </x:c>
      <x:c r="M289" t="str">
        <x:v>https://cloud.kepuchina.cn/h5/detail?id=7301702823463145472</x:v>
      </x:c>
      <x:c r="N289" t="str">
        <x:v>https://www.kczg.org.cn/fruit/detail?id=727209</x:v>
      </x:c>
      <x:c r="O289" t="str">
        <x:v>http://www.gongkong.com/article/202606/115024.html</x:v>
      </x:c>
      <x:c r="P289" t="str">
        <x:v>https://www.ruizeny.com/jienengjishujnzsdetail/20260324418.html</x:v>
      </x:c>
      <x:c r="Q289" t="str">
        <x:v>https://www.ruizeny.com/jienengjishujnzsdetail/20260324418.html</x:v>
      </x:c>
      <x:c r="R289" t="str">
        <x:v>https://www.metallurgy-expo.com.cn/0181.html</x:v>
      </x:c>
      <x:c r="S289" t="str">
        <x:v>https://www.wuxi.gov.cn/doc/2025/07/22/4616372.shtml</x:v>
      </x:c>
      <x:c r="T289" t="str">
        <x:v>http://www.jsgt.org.cn/index.php/Wap/Index/art/a_id/36270/c_id/40.html</x:v>
      </x:c>
      <x:c r="U289" t="str">
        <x:v>pasted-text.txt（附件 222c8694-8d40-448b-b896-fa07be3fb543）</x:v>
      </x:c>
      <x:c r="V289" t="str">
        <x:v>引用源11-15：http://www.jsgt.org.cn/index.php/Wap/Index/art/a_id/36270/c_id/40.html | https://baike.baidu.com/item/%e5%b7%a5%e6%a5%ad%e7%88%90/475419；证据完整性：有/无标签与引用网址已归档；完整回答正文/截图未提供</x:v>
      </x:c>
      <x:c r="W289" t="str">
        <x:v>R2-011</x:v>
      </x:c>
    </x:row>
    <x:row r="290">
      <x:c r="A290" t="str">
        <x:v>R2</x:v>
      </x:c>
      <x:c r="B290" s="30" t="n">
        <x:v>46245</x:v>
      </x:c>
      <x:c r="C290" t="n">
        <x:v>8</x:v>
      </x:c>
      <x:c r="D290" t="str">
        <x:v>工业炉耗电量高怎么改造</x:v>
      </x:c>
      <x:c r="E290" t="str">
        <x:v>非品牌词</x:v>
      </x:c>
      <x:c r="F290" t="str">
        <x:v>未记录</x:v>
      </x:c>
      <x:c r="G290" t="str">
        <x:v>元宝</x:v>
      </x:c>
      <x:c r="H290" t="str">
        <x:v>否</x:v>
      </x:c>
      <x:c r="I290" t="str">
        <x:v>否</x:v>
      </x:c>
      <x:c r="J290" t="n">
        <x:v>0</x:v>
      </x:c>
      <x:c r="K290" t="str">
        <x:v>https://www.gongkong.com/article/202606/industrial-furnace</x:v>
      </x:c>
      <x:c r="L290" t="str">
        <x:v>http://xianzhoudianlu.com/newsinfo/336.html</x:v>
      </x:c>
      <x:c r="M290" t="str">
        <x:v>http://www.cnee-expo.com/?news/682</x:v>
      </x:c>
      <x:c r="N290" t="str">
        <x:v>https://lyhryl.com/articleinfo/800.html</x:v>
      </x:c>
      <x:c r="O290" t="str">
        <x:v>http://www.sdpyylgc.com/xinwen/hyzx/show379.html</x:v>
      </x:c>
      <x:c r="P290" t="str">
        <x:v>https://www.toutiao.com/article/7388164434616746511/</x:v>
      </x:c>
      <x:c r="Q290" t="str">
        <x:v>https://huanbao.bjx.com.cn/news/20260624/1501291.shtml</x:v>
      </x:c>
      <x:c r="R290" t="str">
        <x:v>https://www.eurotherm.com/products/power-control</x:v>
      </x:c>
      <x:c r="S290" t="str">
        <x:v>https://www.krosaki.co.jp/sdgs-en/saving-en</x:v>
      </x:c>
      <x:c r="T290" t="str">
        <x:v>https://www.judrl.com/4953.html</x:v>
      </x:c>
      <x:c r="U290" t="str">
        <x:v>pasted-text.txt（附件 222c8694-8d40-448b-b896-fa07be3fb543）</x:v>
      </x:c>
      <x:c r="V290" t="str">
        <x:v>引用源11-15：https://www.jyg.gov.cn/sthjj/xwdt/hjyw/art/2022/art_c8b08d2a96b24625a31aecabe29b74e0.html | https://taiyuan.gov.cn/zwyw/20230912/30065962.html | http://www.sdpyylgc.com/xinwen/xwzx/show380.html | https://www.hnzzdx.com/ | https://lyhryl.com/articleinfo/800.html；证据完整性：有/无标签与引用网址已归档；完整回答正文/截图未提供</x:v>
      </x:c>
      <x:c r="W290" t="str">
        <x:v>R2-012</x:v>
      </x:c>
    </x:row>
    <x:row r="291">
      <x:c r="A291" t="str">
        <x:v>R2</x:v>
      </x:c>
      <x:c r="B291" s="30" t="n">
        <x:v>46245</x:v>
      </x:c>
      <x:c r="C291" t="n">
        <x:v>9</x:v>
      </x:c>
      <x:c r="D291" t="str">
        <x:v>热处理炉节能改造能省多少电</x:v>
      </x:c>
      <x:c r="E291" t="str">
        <x:v>非品牌词</x:v>
      </x:c>
      <x:c r="F291" t="str">
        <x:v>未记录</x:v>
      </x:c>
      <x:c r="G291" t="str">
        <x:v>豆包</x:v>
      </x:c>
      <x:c r="H291" t="str">
        <x:v>否</x:v>
      </x:c>
      <x:c r="I291" t="str">
        <x:v>否</x:v>
      </x:c>
      <x:c r="J291" t="n">
        <x:v>0</x:v>
      </x:c>
      <x:c r="K291" t="str">
        <x:v>https://www.docin.com/p-4988126460.html</x:v>
      </x:c>
      <x:c r="L291" t="str">
        <x:v>https://176887506.b2b.11467.com/news/10842884.asp</x:v>
      </x:c>
      <x:c r="M291" t="str">
        <x:v>https://www.foreverfurnace.com/news/energy-saving-renovation-of-steel-plate-induction-heat-treatment-machine.html</x:v>
      </x:c>
      <x:c r="N291" t="str">
        <x:v>https://www.foreverfurnace.com/news/intelligent-slab-induction-heat-treatment-production-line.html</x:v>
      </x:c>
      <x:c r="O291" t="str">
        <x:v>https://www.lxjskj.com/news/651.html</x:v>
      </x:c>
      <x:c r="P291" t="str">
        <x:v>http://www.sunthaibearing.com/technologydetail.asp?id=4869</x:v>
      </x:c>
      <x:c r="Q291" t="str">
        <x:v>https://www.ecoreheating.com/blog/evn-decision-963-reheating-furnace-load-shifting</x:v>
      </x:c>
      <x:c r="R291" t="str">
        <x:v>https://mf.mw1950.com/cn/article/pdf/preview/10.3969/j.issn.1674-165X.2014.z2.011.pdf</x:v>
      </x:c>
      <x:c r="S291"/>
      <x:c r="T291"/>
      <x:c r="U291" t="str">
        <x:v>pasted-text.txt（附件 222c8694-8d40-448b-b896-fa07be3fb543）</x:v>
      </x:c>
      <x:c r="V291" t="str">
        <x:v>证据完整性：有/无标签与引用网址已归档；完整回答正文/截图未提供</x:v>
      </x:c>
      <x:c r="W291" t="str">
        <x:v>R2-013</x:v>
      </x:c>
    </x:row>
    <x:row r="292">
      <x:c r="A292" t="str">
        <x:v>R2</x:v>
      </x:c>
      <x:c r="B292" s="30" t="n">
        <x:v>46245</x:v>
      </x:c>
      <x:c r="C292" t="n">
        <x:v>9</x:v>
      </x:c>
      <x:c r="D292" t="str">
        <x:v>热处理炉节能改造能省多少电</x:v>
      </x:c>
      <x:c r="E292" t="str">
        <x:v>非品牌词</x:v>
      </x:c>
      <x:c r="F292" t="str">
        <x:v>未记录</x:v>
      </x:c>
      <x:c r="G292" t="str">
        <x:v>DeepSeek</x:v>
      </x:c>
      <x:c r="H292" t="str">
        <x:v>否</x:v>
      </x:c>
      <x:c r="I292" t="str">
        <x:v>否</x:v>
      </x:c>
      <x:c r="J292" t="n">
        <x:v>0</x:v>
      </x:c>
      <x:c r="K292" t="str">
        <x:v>https://d.wanfangdata.com.cn/periodical/ChdQZXJpb2RpY2FsQ0hJU29scjlRdWljaxITYnR6eWpzeHl4YjIwMjUwNDAxMhoIOWl1MW02Y3o%3D</x:v>
      </x:c>
      <x:c r="L292" t="str">
        <x:v>https://www.cinn.cn/difang/jiangsu/2025/08-28/xDLe9RRk.html</x:v>
      </x:c>
      <x:c r="M292" t="str">
        <x:v>http://ynjn.yn.gov.cn/cnMb/jnzs/8615.html</x:v>
      </x:c>
      <x:c r="N292" t="str">
        <x:v>https://cjournal.hep.com.cn/1672-0903/CN/1242834458962289618</x:v>
      </x:c>
      <x:c r="O292" t="str">
        <x:v>https://m.163.com/dy/article/K9GNC3CP0514AMTP.html?referFrom=</x:v>
      </x:c>
      <x:c r="P292" t="str">
        <x:v>https://factory.mysteel.com/a/25111916/41B08EB8DDC69A6C.html</x:v>
      </x:c>
      <x:c r="Q292" t="str">
        <x:v>https://www.wl.gov.cn/col/col1573233/art/2026/art_8d61ff5dcb37439b93b313764d9813f7.html</x:v>
      </x:c>
      <x:c r="R292" t="str">
        <x:v>https://wap.cnki.net/touch/web/Journal/Article/JSZP200103007.html</x:v>
      </x:c>
      <x:c r="S292" t="str">
        <x:v>https://d.wanfangdata.com.cn/periodical/jszp200103008</x:v>
      </x:c>
      <x:c r="T292" t="str">
        <x:v>https://www.chinacaj.net/i,16,108928,0.html</x:v>
      </x:c>
      <x:c r="U292" t="str">
        <x:v>pasted-text.txt（附件 222c8694-8d40-448b-b896-fa07be3fb543）</x:v>
      </x:c>
      <x:c r="V292" t="str">
        <x:v>引用源11-15：https://m.glass.com.cn/townroad/supplydetail-2493066.html；证据完整性：有/无标签与引用网址已归档；完整回答正文/截图未提供</x:v>
      </x:c>
      <x:c r="W292" t="str">
        <x:v>R2-014</x:v>
      </x:c>
    </x:row>
    <x:row r="293">
      <x:c r="A293" t="str">
        <x:v>R2</x:v>
      </x:c>
      <x:c r="B293" s="30" t="n">
        <x:v>46245</x:v>
      </x:c>
      <x:c r="C293" t="n">
        <x:v>9</x:v>
      </x:c>
      <x:c r="D293" t="str">
        <x:v>热处理炉节能改造能省多少电</x:v>
      </x:c>
      <x:c r="E293" t="str">
        <x:v>非品牌词</x:v>
      </x:c>
      <x:c r="F293" t="str">
        <x:v>未记录</x:v>
      </x:c>
      <x:c r="G293" t="str">
        <x:v>元宝</x:v>
      </x:c>
      <x:c r="H293" t="str">
        <x:v>否</x:v>
      </x:c>
      <x:c r="I293" t="str">
        <x:v>否</x:v>
      </x:c>
      <x:c r="J293" t="n">
        <x:v>0</x:v>
      </x:c>
      <x:c r="K293" t="str">
        <x:v>https://cloud.kepuchina.cn/newSearch/imgText?id=6969165438751350784</x:v>
      </x:c>
      <x:c r="L293" t="str">
        <x:v>https://hc-heattech.com/nav16-66.html</x:v>
      </x:c>
      <x:c r="M293" t="str">
        <x:v>http://jianxiarechuli.com/news/177962.html</x:v>
      </x:c>
      <x:c r="N293" t="str">
        <x:v>http://www.hc-heattech.com/nav15-65.html</x:v>
      </x:c>
      <x:c r="O293" t="str">
        <x:v>https://m.chinapp.net.cn/pinpaidongtai/2026/0722/183800.html</x:v>
      </x:c>
      <x:c r="P293" t="str">
        <x:v>http://gsltx.com/manager/read/id/1310.html</x:v>
      </x:c>
      <x:c r="Q293" t="str">
        <x:v>http://jxjxysb.chanpin818.com/drsb/gydl/deta_37167900.html</x:v>
      </x:c>
      <x:c r="R293" t="str">
        <x:v>https://baike.sogou.com/v171521246.htm</x:v>
      </x:c>
      <x:c r="S293" t="str">
        <x:v>https://www.dyzv-bearing.com/knowledgeshow.php?titleid=10298&amp;pid=&amp;name=%E8%BD%B4%E6%89%BF%E7%9F%A5%E8%AF%86</x:v>
      </x:c>
      <x:c r="T293" t="str">
        <x:v>https://www.renrendoc.com/paper/152494010.html</x:v>
      </x:c>
      <x:c r="U293" t="str">
        <x:v>pasted-text.txt（附件 222c8694-8d40-448b-b896-fa07be3fb543）</x:v>
      </x:c>
      <x:c r="V293" t="str">
        <x:v>引用源11-15：http://ynjn.yn.gov.cn/cnPc/jnzs/7454.html | https://tech.mysteel.com/14/0922/06/C8E2015B288F8BA9.html | http://www.cqtsd.com/news_details/37.html | https://www.zxdrhj.com/jieda/8095.html | https://www.cnki.com.cn/Article/CJFDTotal-JXRG198406003.htm；证据完整性：有/无标签与引用网址已归档；完整回答正文/截图未提供</x:v>
      </x:c>
      <x:c r="W293" t="str">
        <x:v>R2-015</x:v>
      </x:c>
    </x:row>
    <x:row r="294">
      <x:c r="A294" t="str">
        <x:v>R2</x:v>
      </x:c>
      <x:c r="B294" s="30" t="n">
        <x:v>46245</x:v>
      </x:c>
      <x:c r="C294" t="n">
        <x:v>10</x:v>
      </x:c>
      <x:c r="D294" t="str">
        <x:v>工业炉改造验收看哪些指标</x:v>
      </x:c>
      <x:c r="E294" t="str">
        <x:v>非品牌词</x:v>
      </x:c>
      <x:c r="F294" t="str">
        <x:v>未记录</x:v>
      </x:c>
      <x:c r="G294" t="str">
        <x:v>豆包</x:v>
      </x:c>
      <x:c r="H294" t="str">
        <x:v>否</x:v>
      </x:c>
      <x:c r="I294" t="str">
        <x:v>否</x:v>
      </x:c>
      <x:c r="J294" t="n">
        <x:v>0</x:v>
      </x:c>
      <x:c r="K294"/>
      <x:c r="L294"/>
      <x:c r="M294"/>
      <x:c r="N294"/>
      <x:c r="O294"/>
      <x:c r="P294"/>
      <x:c r="Q294"/>
      <x:c r="R294"/>
      <x:c r="S294"/>
      <x:c r="T294"/>
      <x:c r="U294" t="str">
        <x:v>pasted-text.txt（附件 222c8694-8d40-448b-b896-fa07be3fb543）</x:v>
      </x:c>
      <x:c r="V294" t="str">
        <x:v>来源网址未记录；证据完整性：有/无标签与引用网址已归档；完整回答正文/截图未提供</x:v>
      </x:c>
      <x:c r="W294" t="str">
        <x:v>R2-016</x:v>
      </x:c>
    </x:row>
    <x:row r="295">
      <x:c r="A295" t="str">
        <x:v>R2</x:v>
      </x:c>
      <x:c r="B295" s="30" t="n">
        <x:v>46245</x:v>
      </x:c>
      <x:c r="C295" t="n">
        <x:v>10</x:v>
      </x:c>
      <x:c r="D295" t="str">
        <x:v>工业炉改造验收看哪些指标</x:v>
      </x:c>
      <x:c r="E295" t="str">
        <x:v>非品牌词</x:v>
      </x:c>
      <x:c r="F295" t="str">
        <x:v>未记录</x:v>
      </x:c>
      <x:c r="G295" t="str">
        <x:v>DeepSeek</x:v>
      </x:c>
      <x:c r="H295" t="str">
        <x:v>否</x:v>
      </x:c>
      <x:c r="I295" t="str">
        <x:v>否</x:v>
      </x:c>
      <x:c r="J295" t="n">
        <x:v>0</x:v>
      </x:c>
      <x:c r="K295" t="str">
        <x:v>https://et.wanfangdata.com.cn/bz/Standard/Search?q=%E5%85%B3%E9%94%AE%E8%AF%8D%3A%22%E7%AD%91%E7%82%89%22&amp;ismandatory=%E5%90%A6&amp;OrderBy=%22issuedate%22&amp;ccsshort=P</x:v>
      </x:c>
      <x:c r="L295" t="str">
        <x:v>https://www.spc.org.cn/online/a41b83230c10dc73f0f67d7069384808.html</x:v>
      </x:c>
      <x:c r="M295" t="str">
        <x:v>https://test.yjssishiliu.com/qitajiance/15057.html</x:v>
      </x:c>
      <x:c r="N295" t="str">
        <x:v>http://www.zgggzy.com/jyxm/show.php?itemid=36151</x:v>
      </x:c>
      <x:c r="O295" t="str">
        <x:v>https://et.wanfangdata.com.cn/bz/Standard/Search?OrderBy=%22issuedate%22&amp;ccsshort=PJ&amp;q=%e5%85%b3%e9%94%ae%e8%af%8d:%22%e7%ad%91%e7%82%89%22&amp;stancond=%e4%bd%9c%e5%ba%9f</x:v>
      </x:c>
      <x:c r="P295" t="str">
        <x:v>https://test.yjssishiliu.com/xingnengjiance/4430.html</x:v>
      </x:c>
      <x:c r="Q295" t="str">
        <x:v>https://test.yjssishiliu.com/xingnengjiance/4430.html</x:v>
      </x:c>
      <x:c r="R295" t="str">
        <x:v>https://www.spc.org.cn/online/8c8f8d6ab2b4858df25ff27a7e7f47a0.html</x:v>
      </x:c>
      <x:c r="S295" t="str">
        <x:v>https://www.spc.org.cn/online/8c8f8d6ab2b4858df25ff27a7e7f47a0.html</x:v>
      </x:c>
      <x:c r="T295" t="str">
        <x:v>https://www.antpedia.com/standard/1086240-1.html</x:v>
      </x:c>
      <x:c r="U295" t="str">
        <x:v>pasted-text.txt（附件 222c8694-8d40-448b-b896-fa07be3fb543）</x:v>
      </x:c>
      <x:c r="V295" t="str">
        <x:v>引用源11-15：https://www.biaozhun.org/html/364786.html | https://test.yjssishiliu.com/xingnengjiance/6646.html | https://www.baijiantest.com/infoDetails/87/15894956；证据完整性：有/无标签与引用网址已归档；完整回答正文/截图未提供</x:v>
      </x:c>
      <x:c r="W295" t="str">
        <x:v>R2-017</x:v>
      </x:c>
    </x:row>
    <x:row r="296">
      <x:c r="A296" t="str">
        <x:v>R2</x:v>
      </x:c>
      <x:c r="B296" s="30" t="n">
        <x:v>46245</x:v>
      </x:c>
      <x:c r="C296" t="n">
        <x:v>10</x:v>
      </x:c>
      <x:c r="D296" t="str">
        <x:v>工业炉改造验收看哪些指标</x:v>
      </x:c>
      <x:c r="E296" t="str">
        <x:v>非品牌词</x:v>
      </x:c>
      <x:c r="F296" t="str">
        <x:v>未记录</x:v>
      </x:c>
      <x:c r="G296" t="str">
        <x:v>元宝</x:v>
      </x:c>
      <x:c r="H296" t="str">
        <x:v>否</x:v>
      </x:c>
      <x:c r="I296" t="str">
        <x:v>否</x:v>
      </x:c>
      <x:c r="J296" t="n">
        <x:v>0</x:v>
      </x:c>
      <x:c r="K296" t="str">
        <x:v>https://www.guifanku.com/911892.html</x:v>
      </x:c>
      <x:c r="L296" t="str">
        <x:v>https://www.mee.gov.cn/gkml/hbb/bgth/201709/W020171010386843869317.pdf</x:v>
      </x:c>
      <x:c r="M296" t="str">
        <x:v>http://cibb.net.cn/News/Detail/23814</x:v>
      </x:c>
      <x:c r="N296" t="str">
        <x:v>https://www.sohu.com/a/316500450_738567</x:v>
      </x:c>
      <x:c r="O296" t="str">
        <x:v>https://www.mee.gov.cn/gkml/sthjbgw/spwj1/201406/t20140630_278012.htm</x:v>
      </x:c>
      <x:c r="P296" t="str">
        <x:v>http://www.fg-furnace.com/Article/hyjrljnjcf_1.html</x:v>
      </x:c>
      <x:c r="Q296" t="str">
        <x:v>https://www.bjstest.com/fwly/qt/27565.html</x:v>
      </x:c>
      <x:c r="R296" t="str">
        <x:v>https://www.bjytest.com/bjy/qtjc/54332.html</x:v>
      </x:c>
      <x:c r="S296" t="str">
        <x:v>https://fgw.beijing.gov.cn/fgwzwgk/2024zcwj/sjbmgfxwj/gjfgwwj/202004/W020240626074449435574.pdf</x:v>
      </x:c>
      <x:c r="T296" t="str">
        <x:v>https://www.mee.gov.cn/ywgz/fgbz/bz/bzwb/pwxk/202004/W020200401325055992721.pdf</x:v>
      </x:c>
      <x:c r="U296" t="str">
        <x:v>pasted-text.txt（附件 222c8694-8d40-448b-b896-fa07be3fb543）</x:v>
      </x:c>
      <x:c r="V296" t="str">
        <x:v>引用源11-15：https://sthjj.cq.gov.cn/zwgk_249/zfxxgkml/kjbz/gjjdfhj/dfhjbz/201901/P020220324607449424716.pdf | https://www.chinamine-safety.gov.cn/zfxxgk/fdzdgknr/zcfg/hybz_01/mkanj/201911/P020210202593923046798.pdf | https://www.bjhgyjs.cn/news/qitajiance/2025/04/154940.html | https://www.renrendoc.com/paper/525888760.html | https://www.bjhgyjs.cn/news/qitajiance/2025/04/154940.html；证据完整性：有/无标签与引用网址已归档；完整回答正文/截图未提供</x:v>
      </x:c>
      <x:c r="W296" t="str">
        <x:v>R2-018</x:v>
      </x:c>
    </x:row>
    <x:row r="297">
      <x:c r="A297" t="str">
        <x:v>R2</x:v>
      </x:c>
      <x:c r="B297" s="30" t="n">
        <x:v>46245</x:v>
      </x:c>
      <x:c r="C297" t="n">
        <x:v>11</x:v>
      </x:c>
      <x:c r="D297" t="str">
        <x:v>热处理炉改造周期一般多久</x:v>
      </x:c>
      <x:c r="E297" t="str">
        <x:v>非品牌词</x:v>
      </x:c>
      <x:c r="F297" t="str">
        <x:v>未记录</x:v>
      </x:c>
      <x:c r="G297" t="str">
        <x:v>豆包</x:v>
      </x:c>
      <x:c r="H297" t="str">
        <x:v>否</x:v>
      </x:c>
      <x:c r="I297" t="str">
        <x:v>否</x:v>
      </x:c>
      <x:c r="J297" t="n">
        <x:v>0</x:v>
      </x:c>
      <x:c r="K297"/>
      <x:c r="L297"/>
      <x:c r="M297"/>
      <x:c r="N297"/>
      <x:c r="O297"/>
      <x:c r="P297"/>
      <x:c r="Q297"/>
      <x:c r="R297"/>
      <x:c r="S297"/>
      <x:c r="T297"/>
      <x:c r="U297" t="str">
        <x:v>pasted-text.txt（附件 222c8694-8d40-448b-b896-fa07be3fb543）</x:v>
      </x:c>
      <x:c r="V297" t="str">
        <x:v>来源网址未记录；证据完整性：有/无标签与引用网址已归档；完整回答正文/截图未提供</x:v>
      </x:c>
      <x:c r="W297" t="str">
        <x:v>R2-019</x:v>
      </x:c>
    </x:row>
    <x:row r="298">
      <x:c r="A298" t="str">
        <x:v>R2</x:v>
      </x:c>
      <x:c r="B298" s="30" t="n">
        <x:v>46245</x:v>
      </x:c>
      <x:c r="C298" t="n">
        <x:v>11</x:v>
      </x:c>
      <x:c r="D298" t="str">
        <x:v>热处理炉改造周期一般多久</x:v>
      </x:c>
      <x:c r="E298" t="str">
        <x:v>非品牌词</x:v>
      </x:c>
      <x:c r="F298" t="str">
        <x:v>未记录</x:v>
      </x:c>
      <x:c r="G298" t="str">
        <x:v>DeepSeek</x:v>
      </x:c>
      <x:c r="H298" t="str">
        <x:v>否</x:v>
      </x:c>
      <x:c r="I298" t="str">
        <x:v>否</x:v>
      </x:c>
      <x:c r="J298" t="n">
        <x:v>0</x:v>
      </x:c>
      <x:c r="K298" t="str">
        <x:v>http://m.gdtzb.com/g-zb-46348175.html</x:v>
      </x:c>
      <x:c r="L298" t="str">
        <x:v>https://sgdaily.shougang.com.cn/sgrb/2025/08/11/app_75330.html</x:v>
      </x:c>
      <x:c r="M298" t="str">
        <x:v>https://www.avicbid.com/cmszzbgg/4231fb35b05f416ca907c8a1ae481091.html</x:v>
      </x:c>
      <x:c r="N298" t="str">
        <x:v>https://baohuabidding.com/shbhgjzb/jyxx/018001/018001001/018001001002/20260803/a5faf620-2ba3-4fa6-8dcf-f492700cb064.html</x:v>
      </x:c>
      <x:c r="O298" t="str">
        <x:v>https://365trade.com.cn/zhwzb/696664.jhtml</x:v>
      </x:c>
      <x:c r="P298" t="str">
        <x:v>http://365trade.com.cn/jhwzb/692849.jhtml</x:v>
      </x:c>
      <x:c r="Q298" t="str">
        <x:v>http://www.365trade.com.cn/zhwzb/841304.jhtml</x:v>
      </x:c>
      <x:c r="R298" t="str">
        <x:v>https://zb.sggylpt.com/jyxx/002001/002001004/20250604/d40e7511-f826-4a90-b4e4-995066e3a76c.html</x:v>
      </x:c>
      <x:c r="S298" t="str">
        <x:v>https://baohuabidding.com/shbhgjzb/jyxx/018001/018001001/018001001002/20251021/28fd9973-0c9c-461e-bd55-d19108e154b9.html</x:v>
      </x:c>
      <x:c r="T298" t="str">
        <x:v>https://www.erzhong-heavy.com/news/news_proc/202503/t20250313_539225.html</x:v>
      </x:c>
      <x:c r="U298" t="str">
        <x:v>pasted-text.txt（附件 222c8694-8d40-448b-b896-fa07be3fb543）</x:v>
      </x:c>
      <x:c r="V298" t="str">
        <x:v>证据完整性：有/无标签与引用网址已归档；完整回答正文/截图未提供</x:v>
      </x:c>
      <x:c r="W298" t="str">
        <x:v>R2-020</x:v>
      </x:c>
    </x:row>
    <x:row r="299">
      <x:c r="A299" t="str">
        <x:v>R2</x:v>
      </x:c>
      <x:c r="B299" s="30" t="n">
        <x:v>46245</x:v>
      </x:c>
      <x:c r="C299" t="n">
        <x:v>11</x:v>
      </x:c>
      <x:c r="D299" t="str">
        <x:v>热处理炉改造周期一般多久</x:v>
      </x:c>
      <x:c r="E299" t="str">
        <x:v>非品牌词</x:v>
      </x:c>
      <x:c r="F299" t="str">
        <x:v>未记录</x:v>
      </x:c>
      <x:c r="G299" t="str">
        <x:v>元宝</x:v>
      </x:c>
      <x:c r="H299" t="str">
        <x:v>否</x:v>
      </x:c>
      <x:c r="I299" t="str">
        <x:v>否</x:v>
      </x:c>
      <x:c r="J299" t="n">
        <x:v>0</x:v>
      </x:c>
      <x:c r="K299"/>
      <x:c r="L299"/>
      <x:c r="M299"/>
      <x:c r="N299"/>
      <x:c r="O299"/>
      <x:c r="P299"/>
      <x:c r="Q299"/>
      <x:c r="R299"/>
      <x:c r="S299"/>
      <x:c r="T299"/>
      <x:c r="U299" t="str">
        <x:v>pasted-text.txt（附件 222c8694-8d40-448b-b896-fa07be3fb543）</x:v>
      </x:c>
      <x:c r="V299" t="str">
        <x:v>来源网址未记录；证据完整性：有/无标签与引用网址已归档；完整回答正文/截图未提供</x:v>
      </x:c>
      <x:c r="W299" t="str">
        <x:v>R2-021</x:v>
      </x:c>
    </x:row>
    <x:row r="300">
      <x:c r="A300" t="str">
        <x:v>R2</x:v>
      </x:c>
      <x:c r="B300" s="30" t="n">
        <x:v>46245</x:v>
      </x:c>
      <x:c r="C300" t="n">
        <x:v>26</x:v>
      </x:c>
      <x:c r="D300" t="str">
        <x:v>热处理炉技改投资回报测算</x:v>
      </x:c>
      <x:c r="E300" t="str">
        <x:v>非品牌词</x:v>
      </x:c>
      <x:c r="F300" t="str">
        <x:v>未记录</x:v>
      </x:c>
      <x:c r="G300" t="str">
        <x:v>豆包</x:v>
      </x:c>
      <x:c r="H300" t="str">
        <x:v>否</x:v>
      </x:c>
      <x:c r="I300" t="str">
        <x:v>否</x:v>
      </x:c>
      <x:c r="J300" t="n">
        <x:v>0</x:v>
      </x:c>
      <x:c r="K300"/>
      <x:c r="L300"/>
      <x:c r="M300"/>
      <x:c r="N300"/>
      <x:c r="O300"/>
      <x:c r="P300"/>
      <x:c r="Q300"/>
      <x:c r="R300"/>
      <x:c r="S300"/>
      <x:c r="T300"/>
      <x:c r="U300" t="str">
        <x:v>pasted-text.txt（附件 222c8694-8d40-448b-b896-fa07be3fb543）</x:v>
      </x:c>
      <x:c r="V300" t="str">
        <x:v>来源网址未记录；证据完整性：有/无标签与引用网址已归档；完整回答正文/截图未提供</x:v>
      </x:c>
      <x:c r="W300" t="str">
        <x:v>R2-022</x:v>
      </x:c>
    </x:row>
    <x:row r="301">
      <x:c r="A301" t="str">
        <x:v>R2</x:v>
      </x:c>
      <x:c r="B301" s="30" t="n">
        <x:v>46245</x:v>
      </x:c>
      <x:c r="C301" t="n">
        <x:v>26</x:v>
      </x:c>
      <x:c r="D301" t="str">
        <x:v>热处理炉技改投资回报测算</x:v>
      </x:c>
      <x:c r="E301" t="str">
        <x:v>非品牌词</x:v>
      </x:c>
      <x:c r="F301" t="str">
        <x:v>未记录</x:v>
      </x:c>
      <x:c r="G301" t="str">
        <x:v>DeepSeek</x:v>
      </x:c>
      <x:c r="H301" t="str">
        <x:v>否</x:v>
      </x:c>
      <x:c r="I301" t="str">
        <x:v>否</x:v>
      </x:c>
      <x:c r="J301" t="n">
        <x:v>0</x:v>
      </x:c>
      <x:c r="K301" t="str">
        <x:v>http://ynjn.yn.gov.cn/cnMb/jnzs/8615.html</x:v>
      </x:c>
      <x:c r="L301" t="str">
        <x:v>https://wap.cnki.net/touch/web/Journal/Article/JSRC199302016.html</x:v>
      </x:c>
      <x:c r="M301" t="str">
        <x:v>https://www.ycnews.cn/ycyw/2025/11-14/Lkvb7KGk.html</x:v>
      </x:c>
      <x:c r="N301" t="str">
        <x:v>https://wap.cnki.net/touch/web/Journal/Article/GAGU199705015.html</x:v>
      </x:c>
      <x:c r="O301" t="str">
        <x:v>https://www.eesia.cn/upload/files/2024/1/627443d31116aad3.pdf#1#1</x:v>
      </x:c>
      <x:c r="P301" t="str">
        <x:v>https://www.wl.gov.cn/col/col1573233/art/2026/art_8d61ff5dcb37439b93b313764d9813f7.html</x:v>
      </x:c>
      <x:c r="Q301" t="str">
        <x:v>https://www.dwhst.cn/article-item-205.html</x:v>
      </x:c>
      <x:c r="R301" t="str">
        <x:v>https://bianke.cnki.net/Web/SearchArticle?kw=%E4%B8%AD%E5%8E%9A%E6%9D%BF%E7%83%AD%E5%A4%84%E7%90%86&amp;order=3&amp;field=0</x:v>
      </x:c>
      <x:c r="S301" t="str">
        <x:v>https://www.renrendoc.com/paper/526834046.html</x:v>
      </x:c>
      <x:c r="T301" t="str">
        <x:v>http://www.hlsf.cn/energy/23/report_92140.html</x:v>
      </x:c>
      <x:c r="U301" t="str">
        <x:v>pasted-text.txt（附件 222c8694-8d40-448b-b896-fa07be3fb543）</x:v>
      </x:c>
      <x:c r="V301" t="str">
        <x:v>引用源11-15：http://www.julang.com.cn/reculi/newsdetail.asp?nid=3746 | https://www.ggzzchina.com/article/id/9e5ecbb2-ac9f-45f6-8f44-c721c2fa54aa?viewType=citedby-info；证据完整性：有/无标签与引用网址已归档；完整回答正文/截图未提供</x:v>
      </x:c>
      <x:c r="W301" t="str">
        <x:v>R2-023</x:v>
      </x:c>
    </x:row>
    <x:row r="302">
      <x:c r="A302" t="str">
        <x:v>R2</x:v>
      </x:c>
      <x:c r="B302" s="30" t="n">
        <x:v>46245</x:v>
      </x:c>
      <x:c r="C302" t="n">
        <x:v>26</x:v>
      </x:c>
      <x:c r="D302" t="str">
        <x:v>热处理炉技改投资回报测算</x:v>
      </x:c>
      <x:c r="E302" t="str">
        <x:v>非品牌词</x:v>
      </x:c>
      <x:c r="F302" t="str">
        <x:v>未记录</x:v>
      </x:c>
      <x:c r="G302" t="str">
        <x:v>元宝</x:v>
      </x:c>
      <x:c r="H302" t="str">
        <x:v>否</x:v>
      </x:c>
      <x:c r="I302" t="str">
        <x:v>否</x:v>
      </x:c>
      <x:c r="J302" t="n">
        <x:v>0</x:v>
      </x:c>
      <x:c r="K302"/>
      <x:c r="L302"/>
      <x:c r="M302"/>
      <x:c r="N302"/>
      <x:c r="O302"/>
      <x:c r="P302"/>
      <x:c r="Q302"/>
      <x:c r="R302"/>
      <x:c r="S302"/>
      <x:c r="T302"/>
      <x:c r="U302" t="str">
        <x:v>pasted-text.txt（附件 222c8694-8d40-448b-b896-fa07be3fb543）</x:v>
      </x:c>
      <x:c r="V302" t="str">
        <x:v>来源网址未记录；证据完整性：有/无标签与引用网址已归档；完整回答正文/截图未提供</x:v>
      </x:c>
      <x:c r="W302" t="str">
        <x:v>R2-024</x:v>
      </x:c>
    </x:row>
    <x:row r="303">
      <x:c r="A303" t="str">
        <x:v>R2</x:v>
      </x:c>
      <x:c r="B303" s="30" t="n">
        <x:v>46245</x:v>
      </x:c>
      <x:c r="C303" t="n">
        <x:v>28</x:v>
      </x:c>
      <x:c r="D303" t="str">
        <x:v>热处理炉节能改造多少钱</x:v>
      </x:c>
      <x:c r="E303" t="str">
        <x:v>非品牌词</x:v>
      </x:c>
      <x:c r="F303" t="str">
        <x:v>未记录</x:v>
      </x:c>
      <x:c r="G303" t="str">
        <x:v>豆包</x:v>
      </x:c>
      <x:c r="H303" t="str">
        <x:v>否</x:v>
      </x:c>
      <x:c r="I303" t="str">
        <x:v>否</x:v>
      </x:c>
      <x:c r="J303" t="n">
        <x:v>0</x:v>
      </x:c>
      <x:c r="K303" t="str">
        <x:v>https://link.wtturl.cn/?target=https%3A%2F%2Fm.11467.com%2Fblog%2Fd18609096.htm&amp;scene=im&amp;aid=582478&amp;lang=zh</x:v>
      </x:c>
      <x:c r="L303" t="str">
        <x:v>https://www.docin.com/p-4931760160.html</x:v>
      </x:c>
      <x:c r="M303" t="str">
        <x:v>https://www.ruizeny.com/jienengjishujnzsdetail/20260428466.html</x:v>
      </x:c>
      <x:c r="N303" t="str">
        <x:v>http://www.nhbwm.com/manager/read/id/1453.html</x:v>
      </x:c>
      <x:c r="O303" t="str">
        <x:v>https://www.renrendoc.com/paper/474267011.html</x:v>
      </x:c>
      <x:c r="P303" t="str">
        <x:v>http://www.sunthaibearing.com/technologydetail.asp?id=4869</x:v>
      </x:c>
      <x:c r="Q303" t="str">
        <x:v>https://www.ruizeny.com/jienengjishujnzsdetail/20260428466.html</x:v>
      </x:c>
      <x:c r="R303" t="str">
        <x:v>https://www.ecoreheating.com/blog/energy-efficiency-for-indonesian-steel-rolling-mills-reheating-furnace-audit-and-roi</x:v>
      </x:c>
      <x:c r="S303" t="str">
        <x:v>https://www.docin.com/p-4944155798.html</x:v>
      </x:c>
      <x:c r="T303"/>
      <x:c r="U303" t="str">
        <x:v>pasted-text.txt（附件 222c8694-8d40-448b-b896-fa07be3fb543）</x:v>
      </x:c>
      <x:c r="V303" t="str">
        <x:v>证据完整性：有/无标签与引用网址已归档；完整回答正文/截图未提供</x:v>
      </x:c>
      <x:c r="W303" t="str">
        <x:v>R2-025</x:v>
      </x:c>
    </x:row>
    <x:row r="304">
      <x:c r="A304" t="str">
        <x:v>R2</x:v>
      </x:c>
      <x:c r="B304" s="30" t="n">
        <x:v>46245</x:v>
      </x:c>
      <x:c r="C304" t="n">
        <x:v>28</x:v>
      </x:c>
      <x:c r="D304" t="str">
        <x:v>热处理炉节能改造多少钱</x:v>
      </x:c>
      <x:c r="E304" t="str">
        <x:v>非品牌词</x:v>
      </x:c>
      <x:c r="F304" t="str">
        <x:v>未记录</x:v>
      </x:c>
      <x:c r="G304" t="str">
        <x:v>DeepSeek</x:v>
      </x:c>
      <x:c r="H304" t="str">
        <x:v>否</x:v>
      </x:c>
      <x:c r="I304" t="str">
        <x:v>否</x:v>
      </x:c>
      <x:c r="J304" t="n">
        <x:v>0</x:v>
      </x:c>
      <x:c r="K304" t="str">
        <x:v>https://bid.tisco.com.cn/infoDetail/c7a45ac2-d84f-4658-8a87-f6b96f06ba41</x:v>
      </x:c>
      <x:c r="L304" t="str">
        <x:v>http://ynjn.yn.gov.cn/cnPc/jnzs/8615.html</x:v>
      </x:c>
      <x:c r="M304" t="str">
        <x:v>http://www.cxchly.com/article_view.asp?id=732</x:v>
      </x:c>
      <x:c r="N304" t="str">
        <x:v>https://210.5.150.21/shbhgjzb/jyxx/018001/018001002/018001002003/20260412/9a313278-27ce-4443-ac9f-d074dc018994.html</x:v>
      </x:c>
      <x:c r="O304" t="str">
        <x:v>https://www.eesia.cn/Uploads/file/20200302/1583132983122670.pdf#1#1</x:v>
      </x:c>
      <x:c r="P304" t="str">
        <x:v>https://baohuabidding.com/shbhgjzb/jyxx/018001/018001002/018001002003/20250811/67ad48b4-5966-456e-8320-30e585b7eb17.html</x:v>
      </x:c>
      <x:c r="Q304" t="str">
        <x:v>https://www.eesia.cn/upload/files/2024/1/627443d31116aad3.pdf#1#1</x:v>
      </x:c>
      <x:c r="R304" t="str">
        <x:v>http://www.jdzj.com/naigaowenqi/2-5019667.html</x:v>
      </x:c>
      <x:c r="S304" t="str">
        <x:v>http://www.hljtendering.com.cn/newsshow/?id=22551</x:v>
      </x:c>
      <x:c r="T304" t="str">
        <x:v>https://www.dwhst.cn/article-item-205.html</x:v>
      </x:c>
      <x:c r="U304" t="str">
        <x:v>pasted-text.txt（附件 222c8694-8d40-448b-b896-fa07be3fb543）</x:v>
      </x:c>
      <x:c r="V304" t="str">
        <x:v>引用源11-15：http://m.jixie100.net/drsb/gydl/8561317.html | http://www.hlsf.cn/energy/23/report_92140.html；证据完整性：有/无标签与引用网址已归档；完整回答正文/截图未提供</x:v>
      </x:c>
      <x:c r="W304" t="str">
        <x:v>R2-026</x:v>
      </x:c>
    </x:row>
    <x:row r="305">
      <x:c r="A305" t="str">
        <x:v>R2</x:v>
      </x:c>
      <x:c r="B305" s="30" t="n">
        <x:v>46245</x:v>
      </x:c>
      <x:c r="C305" t="n">
        <x:v>28</x:v>
      </x:c>
      <x:c r="D305" t="str">
        <x:v>热处理炉节能改造多少钱</x:v>
      </x:c>
      <x:c r="E305" t="str">
        <x:v>非品牌词</x:v>
      </x:c>
      <x:c r="F305" t="str">
        <x:v>未记录</x:v>
      </x:c>
      <x:c r="G305" t="str">
        <x:v>元宝</x:v>
      </x:c>
      <x:c r="H305" t="str">
        <x:v>否</x:v>
      </x:c>
      <x:c r="I305" t="str">
        <x:v>是</x:v>
      </x:c>
      <x:c r="J305" t="n">
        <x:v>0</x:v>
      </x:c>
      <x:c r="K305" t="str">
        <x:v>https://www.jssngyl.cn/zh/news/re-chu-li-lu-jie-neng-gai-zao-duo-shao-qian-fei-yong-gou-cheng-yu-suan-ying-xiang-yin-su-he-xun-jia-qian-zhun-bei</x:v>
      </x:c>
      <x:c r="L305" t="str">
        <x:v>http://www.cqtsd.com/news_details/37.html</x:v>
      </x:c>
      <x:c r="M305" t="str">
        <x:v>http://www.cxchly.com/article_view.asp?id=732</x:v>
      </x:c>
      <x:c r="N305" t="str">
        <x:v>https://www.renrendoc.com/paper/504883232.html</x:v>
      </x:c>
      <x:c r="O305" t="str">
        <x:v>http://www.indumelt.com/news_xx.asp?msg=156</x:v>
      </x:c>
      <x:c r="P305" t="str">
        <x:v>http://www.czdyrcl.com/news/161499.html</x:v>
      </x:c>
      <x:c r="Q305" t="str">
        <x:v>http://gsltx.com/manager/read/id/1310.html</x:v>
      </x:c>
      <x:c r="R305" t="str">
        <x:v>https://www.miit.gov.cn/n1146285/n1146352/n3054355/n3057542/n3057544/c6469714/part/6469791.pdf</x:v>
      </x:c>
      <x:c r="S305" t="str">
        <x:v>https://industry.haoronglu.com/1576.html</x:v>
      </x:c>
      <x:c r="T305" t="str">
        <x:v>https://www.jtekt.co.jp/e/engineering-journal/assets/1020/1020e_05.pdf</x:v>
      </x:c>
      <x:c r="U305" t="str">
        <x:v>pasted-text.txt（附件 222c8694-8d40-448b-b896-fa07be3fb543）</x:v>
      </x:c>
      <x:c r="V305" t="str">
        <x:v>官网被引用但正文未提及苏能；引用源11-15：https://www.jtekt.co.jp/e/engineering-journal/assets/1020/1020e_05.pdf | http://ynjn.yn.gov.cn/temp/ynjnw/202406/05152254p25b.pdf | https://www.cie.org.cn/static/upload/file/20221208/1670484240103170.pdf | http://www.aygtggzy.cn/jzbgg/16614.jhtml | https://amr.wuhu.gov.cn/content/article/8346584；证据完整性：有/无标签与引用网址已归档；完整回答正文/截图未提供</x:v>
      </x:c>
      <x:c r="W305" t="str">
        <x:v>R2-027</x:v>
      </x:c>
    </x:row>
    <x:row r="306">
      <x:c r="A306" t="str">
        <x:v>R2</x:v>
      </x:c>
      <x:c r="B306" s="30" t="n">
        <x:v>46245</x:v>
      </x:c>
      <x:c r="C306" t="n">
        <x:v>36</x:v>
      </x:c>
      <x:c r="D306" t="str">
        <x:v>热处理炉改造会影响生产吗</x:v>
      </x:c>
      <x:c r="E306" t="str">
        <x:v>非品牌词</x:v>
      </x:c>
      <x:c r="F306" t="str">
        <x:v>未记录</x:v>
      </x:c>
      <x:c r="G306" t="str">
        <x:v>豆包</x:v>
      </x:c>
      <x:c r="H306" t="str">
        <x:v>否</x:v>
      </x:c>
      <x:c r="I306" t="str">
        <x:v>否</x:v>
      </x:c>
      <x:c r="J306" t="n">
        <x:v>0</x:v>
      </x:c>
      <x:c r="K306"/>
      <x:c r="L306"/>
      <x:c r="M306"/>
      <x:c r="N306"/>
      <x:c r="O306"/>
      <x:c r="P306"/>
      <x:c r="Q306"/>
      <x:c r="R306"/>
      <x:c r="S306"/>
      <x:c r="T306"/>
      <x:c r="U306" t="str">
        <x:v>pasted-text.txt（附件 222c8694-8d40-448b-b896-fa07be3fb543）</x:v>
      </x:c>
      <x:c r="V306" t="str">
        <x:v>来源网址未记录；证据完整性：有/无标签与引用网址已归档；完整回答正文/截图未提供</x:v>
      </x:c>
      <x:c r="W306" t="str">
        <x:v>R2-028</x:v>
      </x:c>
    </x:row>
    <x:row r="307">
      <x:c r="A307" t="str">
        <x:v>R2</x:v>
      </x:c>
      <x:c r="B307" s="30" t="n">
        <x:v>46245</x:v>
      </x:c>
      <x:c r="C307" t="n">
        <x:v>36</x:v>
      </x:c>
      <x:c r="D307" t="str">
        <x:v>热处理炉改造会影响生产吗</x:v>
      </x:c>
      <x:c r="E307" t="str">
        <x:v>非品牌词</x:v>
      </x:c>
      <x:c r="F307" t="str">
        <x:v>未记录</x:v>
      </x:c>
      <x:c r="G307" t="str">
        <x:v>DeepSeek</x:v>
      </x:c>
      <x:c r="H307" t="str">
        <x:v>否</x:v>
      </x:c>
      <x:c r="I307" t="str">
        <x:v>否</x:v>
      </x:c>
      <x:c r="J307" t="n">
        <x:v>0</x:v>
      </x:c>
      <x:c r="K307" t="str">
        <x:v>https://wap.cnki.net/touch/web/Journal/Article/JSZP200103007.html</x:v>
      </x:c>
      <x:c r="L307" t="str">
        <x:v>https://www.qiannan.gov.cn/zwgk/zdlygk/sthj/sthjaqjg/202204/P020220529240364439455.pdf#64#8</x:v>
      </x:c>
      <x:c r="M307" t="str">
        <x:v>https://wap.cnki.net/touch/web/Journal/Article/KJQB200522153.html</x:v>
      </x:c>
      <x:c r="N307" t="str">
        <x:v>https://www.avic.com/mobile/c/2026-04-14/642550.shtml</x:v>
      </x:c>
      <x:c r="O307" t="str">
        <x:v>https://d.wanfangdata.com.cn/periodical/jszp200103008</x:v>
      </x:c>
      <x:c r="P307" t="str">
        <x:v>http://www.bidchance.com/calgg/2022/07/22/838ea2e538922f908b073b5d48c31892.html</x:v>
      </x:c>
      <x:c r="Q307" t="str">
        <x:v>https://wap.cnki.net/touch/web/Journal/Article/JNJN201206008.html</x:v>
      </x:c>
      <x:c r="R307" t="str">
        <x:v>https://wap.cnki.net/huiyi-ZGJS201011003104.html</x:v>
      </x:c>
      <x:c r="S307" t="str">
        <x:v>https://ep.cannews.com.cn/index.php?c=PhonePaper&amp;m=showWen&amp;id=209827&amp;paperid=7&amp;banmianid=4994</x:v>
      </x:c>
      <x:c r="T307" t="str">
        <x:v>https://wap.cnki.net/touch/web/Journal/Article/JSGL200302035.html</x:v>
      </x:c>
      <x:c r="U307" t="str">
        <x:v>pasted-text.txt（附件 222c8694-8d40-448b-b896-fa07be3fb543）</x:v>
      </x:c>
      <x:c r="V307" t="str">
        <x:v>引用源11-15：https://sgdaily.shougang.com.cn/sgrb/2025/08/11/app_75330.html；证据完整性：有/无标签与引用网址已归档；完整回答正文/截图未提供</x:v>
      </x:c>
      <x:c r="W307" t="str">
        <x:v>R2-029</x:v>
      </x:c>
    </x:row>
    <x:row r="308">
      <x:c r="A308" t="str">
        <x:v>R2</x:v>
      </x:c>
      <x:c r="B308" s="30" t="n">
        <x:v>46245</x:v>
      </x:c>
      <x:c r="C308" t="n">
        <x:v>36</x:v>
      </x:c>
      <x:c r="D308" t="str">
        <x:v>热处理炉改造会影响生产吗</x:v>
      </x:c>
      <x:c r="E308" t="str">
        <x:v>非品牌词</x:v>
      </x:c>
      <x:c r="F308" t="str">
        <x:v>未记录</x:v>
      </x:c>
      <x:c r="G308" t="str">
        <x:v>元宝</x:v>
      </x:c>
      <x:c r="H308" t="str">
        <x:v>否</x:v>
      </x:c>
      <x:c r="I308" t="str">
        <x:v>否</x:v>
      </x:c>
      <x:c r="J308" t="n">
        <x:v>0</x:v>
      </x:c>
      <x:c r="K308"/>
      <x:c r="L308"/>
      <x:c r="M308"/>
      <x:c r="N308"/>
      <x:c r="O308"/>
      <x:c r="P308"/>
      <x:c r="Q308"/>
      <x:c r="R308"/>
      <x:c r="S308"/>
      <x:c r="T308"/>
      <x:c r="U308" t="str">
        <x:v>pasted-text.txt（附件 222c8694-8d40-448b-b896-fa07be3fb543）</x:v>
      </x:c>
      <x:c r="V308" t="str">
        <x:v>来源网址未记录；证据完整性：有/无标签与引用网址已归档；完整回答正文/截图未提供</x:v>
      </x:c>
      <x:c r="W308" t="str">
        <x:v>R2-030</x:v>
      </x:c>
    </x:row>
    <x:row r="309">
      <x:c r="A309" t="str">
        <x:v>R2</x:v>
      </x:c>
      <x:c r="B309" s="30" t="n">
        <x:v>46245</x:v>
      </x:c>
      <x:c r="C309" t="n">
        <x:v>41</x:v>
      </x:c>
      <x:c r="D309" t="str">
        <x:v>江苏有没有做工业炉节能改造比较靠谱的厂家</x:v>
      </x:c>
      <x:c r="E309" t="str">
        <x:v>非品牌词</x:v>
      </x:c>
      <x:c r="F309" t="str">
        <x:v>未记录</x:v>
      </x:c>
      <x:c r="G309" t="str">
        <x:v>豆包</x:v>
      </x:c>
      <x:c r="H309" t="str">
        <x:v>否</x:v>
      </x:c>
      <x:c r="I309" t="str">
        <x:v>否</x:v>
      </x:c>
      <x:c r="J309" t="n">
        <x:v>0</x:v>
      </x:c>
      <x:c r="K309" t="str">
        <x:v>https://www.sinocalci.com/gsgk/gsjj.html</x:v>
      </x:c>
      <x:c r="L309" t="str">
        <x:v>https://www.yulicorp.com/</x:v>
      </x:c>
      <x:c r="M309" t="str">
        <x:v>https://www.jslongking.com.cn/</x:v>
      </x:c>
      <x:c r="N309" t="str">
        <x:v>https://www.jszyjn.com/</x:v>
      </x:c>
      <x:c r="O309" t="str">
        <x:v>https://www.jslyjn.com/</x:v>
      </x:c>
      <x:c r="P309" t="str">
        <x:v>https://www.sunpowertech.cn/business/industrial-waste-heat-utilization.htm</x:v>
      </x:c>
      <x:c r="Q309" t="str">
        <x:v>https://www.shengnuo.cn/about/gong-si-jian-jie.htm</x:v>
      </x:c>
      <x:c r="R309" t="str">
        <x:v>https://www.qcc.com/creport/a0321e3669e355e62aaca1b8dee2e0e1.html</x:v>
      </x:c>
      <x:c r="S309" t="str">
        <x:v>https://www.shengnuo.cn/about/gong-si-jian-jie.htm</x:v>
      </x:c>
      <x:c r="T309" t="str">
        <x:v>https://www.qcc.com/firm/3ff18ed327a2576ad60f098f172c07a0.html</x:v>
      </x:c>
      <x:c r="U309" t="str">
        <x:v>pasted-text.txt（附件 222c8694-8d40-448b-b896-fa07be3fb543）</x:v>
      </x:c>
      <x:c r="V309" t="str">
        <x:v>证据完整性：有/无标签与引用网址已归档；完整回答正文/截图未提供</x:v>
      </x:c>
      <x:c r="W309" t="str">
        <x:v>R2-031</x:v>
      </x:c>
    </x:row>
    <x:row r="310">
      <x:c r="A310" t="str">
        <x:v>R2</x:v>
      </x:c>
      <x:c r="B310" s="30" t="n">
        <x:v>46245</x:v>
      </x:c>
      <x:c r="C310" t="n">
        <x:v>41</x:v>
      </x:c>
      <x:c r="D310" t="str">
        <x:v>江苏有没有做工业炉节能改造比较靠谱的厂家</x:v>
      </x:c>
      <x:c r="E310" t="str">
        <x:v>非品牌词</x:v>
      </x:c>
      <x:c r="F310" t="str">
        <x:v>未记录</x:v>
      </x:c>
      <x:c r="G310" t="str">
        <x:v>DeepSeek</x:v>
      </x:c>
      <x:c r="H310" t="str">
        <x:v>否</x:v>
      </x:c>
      <x:c r="I310" t="str">
        <x:v>否</x:v>
      </x:c>
      <x:c r="J310" t="n">
        <x:v>0</x:v>
      </x:c>
      <x:c r="K310" t="str">
        <x:v>http://www.jiarungyl.com/?about/</x:v>
      </x:c>
      <x:c r="L310" t="str">
        <x:v>https://baike.baidu.com/item/%E6%B1%9F%E8%8B%8F%E7%84%B1%E9%91%AB%E7%A7%91%E6%8A%80%E9%9B%86%E5%9B%A2%E6%9C%89%E9%99%90%E5%85%AC%E5%8F%B8/20039493?fromModule=lemma_inlink</x:v>
      </x:c>
      <x:c r="M310" t="str">
        <x:v>https://www.edzao.com/news/show.php?itemid=18841</x:v>
      </x:c>
      <x:c r="N310" t="str">
        <x:v>https://www.tianyancha.com/company/2318967206</x:v>
      </x:c>
      <x:c r="O310" t="str">
        <x:v>https://baohuabidding.com/shbhgjzb/jyxx/018001/018001002/018001002003/20250918/6c0755d3-c937-41a2-9745-0e8f55bc335a.html</x:v>
      </x:c>
      <x:c r="P310" t="str">
        <x:v>https://baohuabidding.com/shbhgjzb/jyxx/018001/018001002/018001002003/20250918/6c0755d3-c937-41a2-9745-0e8f55bc335a.html</x:v>
      </x:c>
      <x:c r="Q310" t="str">
        <x:v>http://cn.makepolo.com/dygaohao7_map</x:v>
      </x:c>
      <x:c r="R310" t="str">
        <x:v>https://mytaizhou.net/folder1/folder2/folder7/m/2024-12-21/749990.html?_hgOutLink=news/newsDetail&amp;id=749990</x:v>
      </x:c>
      <x:c r="S310" t="str">
        <x:v>http://shop.jc001.cn/1792103/about/</x:v>
      </x:c>
      <x:c r="T310" t="str">
        <x:v>https://industry.haoronglu.com/1107.html</x:v>
      </x:c>
      <x:c r="U310" t="str">
        <x:v>pasted-text.txt（附件 222c8694-8d40-448b-b896-fa07be3fb543）</x:v>
      </x:c>
      <x:c r="V310" t="str">
        <x:v>引用源11-15：https://www.chinayanxin.com/news/527.html | http://m.jc001.cn/ushop-1512383/about；证据完整性：有/无标签与引用网址已归档；完整回答正文/截图未提供</x:v>
      </x:c>
      <x:c r="W310" t="str">
        <x:v>R2-032</x:v>
      </x:c>
    </x:row>
    <x:row r="311">
      <x:c r="A311" t="str">
        <x:v>R2</x:v>
      </x:c>
      <x:c r="B311" s="30" t="n">
        <x:v>46245</x:v>
      </x:c>
      <x:c r="C311" t="n">
        <x:v>41</x:v>
      </x:c>
      <x:c r="D311" t="str">
        <x:v>江苏有没有做工业炉节能改造比较靠谱的厂家</x:v>
      </x:c>
      <x:c r="E311" t="str">
        <x:v>非品牌词</x:v>
      </x:c>
      <x:c r="F311" t="str">
        <x:v>未记录</x:v>
      </x:c>
      <x:c r="G311" t="str">
        <x:v>元宝</x:v>
      </x:c>
      <x:c r="H311" t="str">
        <x:v>否</x:v>
      </x:c>
      <x:c r="I311" t="str">
        <x:v>否</x:v>
      </x:c>
      <x:c r="J311" t="n">
        <x:v>0</x:v>
      </x:c>
      <x:c r="K311" t="str">
        <x:v>https://www.judrl.com/3573.html</x:v>
      </x:c>
      <x:c r="L311" t="str">
        <x:v>https://industry.haoronglu.com/1106.html</x:v>
      </x:c>
      <x:c r="M311" t="str">
        <x:v>https://www.zgswcn.com/shangxun/news.html?aid=1010678</x:v>
      </x:c>
      <x:c r="N311" t="str">
        <x:v>https://www.liandongob.com/archives/103264.html</x:v>
      </x:c>
      <x:c r="O311" t="str">
        <x:v>https://www.judrl.com/3573.html</x:v>
      </x:c>
      <x:c r="P311" t="str">
        <x:v>http://jywl.cnjiayu.com.cn/hyzx/article-ogfh-4470943.html</x:v>
      </x:c>
      <x:c r="Q311" t="str">
        <x:v>https://www.b2b168.org/wvs214599120.html</x:v>
      </x:c>
      <x:c r="R311" t="str">
        <x:v>https://zb.chinalco.com.cn/zbxx/001001/001001005/20260311/fa228f80-092d-40d2-803d-01653a4d96b7.html</x:v>
      </x:c>
      <x:c r="S311" t="str">
        <x:v>http://www.yiwu.com.cn/flxx/article-NDI0-2448660.html</x:v>
      </x:c>
      <x:c r="T311"/>
      <x:c r="U311" t="str">
        <x:v>pasted-text.txt（附件 222c8694-8d40-448b-b896-fa07be3fb543）</x:v>
      </x:c>
      <x:c r="V311" t="str">
        <x:v>证据完整性：有/无标签与引用网址已归档；完整回答正文/截图未提供</x:v>
      </x:c>
      <x:c r="W311" t="str">
        <x:v>R2-033</x:v>
      </x:c>
    </x:row>
    <x:row r="312">
      <x:c r="A312" t="str">
        <x:v>R2</x:v>
      </x:c>
      <x:c r="B312" s="30" t="n">
        <x:v>46245</x:v>
      </x:c>
      <x:c r="C312" t="n">
        <x:v>42</x:v>
      </x:c>
      <x:c r="D312" t="str">
        <x:v>热处理炉改造前需要准备哪些资料给厂家</x:v>
      </x:c>
      <x:c r="E312" t="str">
        <x:v>非品牌词</x:v>
      </x:c>
      <x:c r="F312" t="str">
        <x:v>未记录</x:v>
      </x:c>
      <x:c r="G312" t="str">
        <x:v>豆包</x:v>
      </x:c>
      <x:c r="H312" t="str">
        <x:v>否</x:v>
      </x:c>
      <x:c r="I312" t="str">
        <x:v>否</x:v>
      </x:c>
      <x:c r="J312" t="n">
        <x:v>0</x:v>
      </x:c>
      <x:c r="K312"/>
      <x:c r="L312"/>
      <x:c r="M312"/>
      <x:c r="N312"/>
      <x:c r="O312"/>
      <x:c r="P312"/>
      <x:c r="Q312"/>
      <x:c r="R312"/>
      <x:c r="S312"/>
      <x:c r="T312"/>
      <x:c r="U312" t="str">
        <x:v>pasted-text.txt（附件 222c8694-8d40-448b-b896-fa07be3fb543）</x:v>
      </x:c>
      <x:c r="V312" t="str">
        <x:v>来源网址未记录；证据完整性：有/无标签与引用网址已归档；完整回答正文/截图未提供</x:v>
      </x:c>
      <x:c r="W312" t="str">
        <x:v>R2-034</x:v>
      </x:c>
    </x:row>
    <x:row r="313">
      <x:c r="A313" t="str">
        <x:v>R2</x:v>
      </x:c>
      <x:c r="B313" s="30" t="n">
        <x:v>46245</x:v>
      </x:c>
      <x:c r="C313" t="n">
        <x:v>42</x:v>
      </x:c>
      <x:c r="D313" t="str">
        <x:v>热处理炉改造前需要准备哪些资料给厂家</x:v>
      </x:c>
      <x:c r="E313" t="str">
        <x:v>非品牌词</x:v>
      </x:c>
      <x:c r="F313" t="str">
        <x:v>未记录</x:v>
      </x:c>
      <x:c r="G313" t="str">
        <x:v>DeepSeek</x:v>
      </x:c>
      <x:c r="H313" t="str">
        <x:v>否</x:v>
      </x:c>
      <x:c r="I313" t="str">
        <x:v>否</x:v>
      </x:c>
      <x:c r="J313" t="n">
        <x:v>0</x:v>
      </x:c>
      <x:c r="K313" t="str">
        <x:v>https://wap.cnki.net/touch/web/Journal/Article/KUHB199903014.html</x:v>
      </x:c>
      <x:c r="L313" t="str">
        <x:v>https://cnncecp.com/download.svc?id=MtRtqjPbN3FwjRTgSYoK9uieqR21EsVddlvfvFbb%2FmBVHpqEM%2FAjlddAzkCcQ3DKXofaYy56FUBoGxC1F4m2d8zfSMadMGQ6FhCggpZ4uxtEq9%2BmeeOWN1%2B1uUEo6RRHtDQBjuXcq1GHSq6CFjibIq1%2F39RlnkoG6UDPKcVxUWY%3D#1#1</x:v>
      </x:c>
      <x:c r="M313" t="str">
        <x:v>https://wap.cnki.net/touch/web/Journal/Article/GYJR200306009.html</x:v>
      </x:c>
      <x:c r="N313" t="str">
        <x:v>https://m.zjtcn.com/news/51038062.html</x:v>
      </x:c>
      <x:c r="O313" t="str">
        <x:v>https://cnncecp.com/download.svc?id=OfNKIf5%2B%2F%2Bj9CjYXEyrkMFvFYqrF1kjwtTGRgweBVQ3RTJqJ3GUtOtCYTL27kYJPbGCDnOs0Q%2BA9DyIVwDAvFB0vFY0yWaM7NnKrmnGrfT0Yhh9o37qcEMWveP2vVVh%2By%2FfTRJW0c6m%2BKhAhKk5dvqXjudRqHrlmD9CsQuSQgM8%3D#1#1</x:v>
      </x:c>
      <x:c r="P313" t="str">
        <x:v>https://wap.cnki.net/touch/web/Journal/Article/ZZSB904.013.html</x:v>
      </x:c>
      <x:c r="Q313" t="str">
        <x:v>https://baike.baidu.com/item/%E7%83%AD%E5%A4%84%E7%90%86%E7%82%89%E7%9A%84%E5%AE%89%E8%A3%85%E3%80%81%E8%B0%83%E8%AF%95%E4%B8%8E%E7%BB%B4%E4%BF%AE</x:v>
      </x:c>
      <x:c r="R313" t="str">
        <x:v>http://opac.hbut.edu.cn:8080/opac/item.php?marc_no=0000319781&amp;list=1</x:v>
      </x:c>
      <x:c r="S313" t="str">
        <x:v>http://www.rclbbs.com/forum.php?mod=viewthread&amp;tid=25943&amp;page=1#pid163703</x:v>
      </x:c>
      <x:c r="T313"/>
      <x:c r="U313" t="str">
        <x:v>pasted-text.txt（附件 222c8694-8d40-448b-b896-fa07be3fb543）</x:v>
      </x:c>
      <x:c r="V313" t="str">
        <x:v>证据完整性：有/无标签与引用网址已归档；完整回答正文/截图未提供</x:v>
      </x:c>
      <x:c r="W313" t="str">
        <x:v>R2-035</x:v>
      </x:c>
    </x:row>
    <x:row r="314">
      <x:c r="A314" t="str">
        <x:v>R2</x:v>
      </x:c>
      <x:c r="B314" s="30" t="n">
        <x:v>46245</x:v>
      </x:c>
      <x:c r="C314" t="n">
        <x:v>42</x:v>
      </x:c>
      <x:c r="D314" t="str">
        <x:v>热处理炉改造前需要准备哪些资料给厂家</x:v>
      </x:c>
      <x:c r="E314" t="str">
        <x:v>非品牌词</x:v>
      </x:c>
      <x:c r="F314" t="str">
        <x:v>未记录</x:v>
      </x:c>
      <x:c r="G314" t="str">
        <x:v>元宝</x:v>
      </x:c>
      <x:c r="H314" t="str">
        <x:v>是</x:v>
      </x:c>
      <x:c r="I314" t="str">
        <x:v>是</x:v>
      </x:c>
      <x:c r="J314" t="n">
        <x:v>3</x:v>
      </x:c>
      <x:c r="K314" t="str">
        <x:v>https://www.jssngyl.cn/zh/news/re-chu-li-lu-gai-zao-qian-xu-yao-zhun-bei-na-xie-zi-liao-yi-fen-gei-chang-jia-gou-tong-de-ping-gu-qing-dan</x:v>
      </x:c>
      <x:c r="L314" t="str">
        <x:v>https://www.jssngyl.cn/zh/news/re-chu-li-lu-jie-neng-gai-zao-duo-shao-qian-fei-yong-gou-cheng-yu-suan-ying-xiang-yin-su-he-xun-jia-qian-zhun-bei</x:v>
      </x:c>
      <x:c r="M314" t="str">
        <x:v>https://www.jssngyl.cn/zh/service/furnace-renovation-overhaul</x:v>
      </x:c>
      <x:c r="N314" t="str">
        <x:v>https://www.jssngyl.cn/zh/products/detail/pusher-furnace</x:v>
      </x:c>
      <x:c r="O314" t="str">
        <x:v>https://max.book118.com/html/2015/0925/26158489.shtm</x:v>
      </x:c>
      <x:c r="P314" t="str">
        <x:v>https://www.jshygyl.com/zh/solutions/hydrogen-bell/</x:v>
      </x:c>
      <x:c r="Q314" t="str">
        <x:v>https://www.bzfxw.com/soft/sort024/sy/1115805.html</x:v>
      </x:c>
      <x:c r="R314" t="str">
        <x:v>http://www.chinakiln.net/technology/201108/24/270.html</x:v>
      </x:c>
      <x:c r="S314" t="str">
        <x:v>https://www.yokogawa.com/cis/solutions/solutions/energy-efficiency-waste-reduction-decarbonization/combustion-safety-optimization/</x:v>
      </x:c>
      <x:c r="T314" t="str">
        <x:v>https://www.yokogawa.com/cis/solutions/solutions/energy-efficiency-waste-reduction-decarbonization/combustion-safety-optimization/</x:v>
      </x:c>
      <x:c r="U314" t="str">
        <x:v>pasted-text.txt（附件 222c8694-8d40-448b-b896-fa07be3fb543）</x:v>
      </x:c>
      <x:c r="V314" t="str">
        <x:v>引用源11-15：https://jz.docin.com/p-4503201541.html | https://bbs.co188.com/thread-6732670-1-1.html | https://so.html5.qq.com/page/real/search_news?docid=70000021_7366a61f46639852 | https://info.b2b168.com/s168-312090760.html | https://info.b2b168.com/s168-312090760.html；证据完整性：有/无标签与引用网址已归档；完整回答正文/截图未提供</x:v>
      </x:c>
      <x:c r="W314" t="str">
        <x:v>R2-036</x:v>
      </x:c>
    </x:row>
  </x:sheetData>
  <x:mergeCells>
    <x:mergeCell ref="A1:W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dcafddd6feb24d5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46263</x:v>
      </x:c>
      <x:c r="J6" s="17" t="str">
        <x:v>R2 已完成（2026-08-11）</x:v>
      </x:c>
      <x:c r="K6" s="17" t="str">
        <x:v>8月11日提前完成双周哨兵；8月29日进入固定55问完整复测</x:v>
      </x:c>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46263</x:v>
      </x:c>
      <x:c r="J7" s="17" t="str">
        <x:v>R2 已完成（2026-08-11）</x:v>
      </x:c>
      <x:c r="K7" s="17" t="str">
        <x:v>8月11日提前完成双周哨兵；8月29日进入固定55问完整复测</x:v>
      </x:c>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46263</x:v>
      </x:c>
      <x:c r="J11" s="17" t="str">
        <x:v>R2 已完成（2026-08-11）</x:v>
      </x:c>
      <x:c r="K11" s="17" t="str">
        <x:v>8月11日提前完成双周哨兵；8月29日进入固定55问完整复测</x:v>
      </x:c>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46263</x:v>
      </x:c>
      <x:c r="J12" s="17" t="str">
        <x:v>R2 已完成（2026-08-11）</x:v>
      </x:c>
      <x:c r="K12" s="17" t="str">
        <x:v>8月11日提前完成双周哨兵；8月29日进入固定55问完整复测</x:v>
      </x:c>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46263</x:v>
      </x:c>
      <x:c r="J13" s="17" t="str">
        <x:v>R2 已完成（2026-08-11）</x:v>
      </x:c>
      <x:c r="K13" s="17" t="str">
        <x:v>8月11日提前完成双周哨兵；8月29日进入固定55问完整复测</x:v>
      </x:c>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46263</x:v>
      </x:c>
      <x:c r="J14" s="17" t="str">
        <x:v>R2 已完成（2026-08-11）</x:v>
      </x:c>
      <x:c r="K14" s="17" t="str">
        <x:v>8月11日提前完成双周哨兵；8月29日进入固定55问完整复测</x:v>
      </x:c>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46263</x:v>
      </x:c>
      <x:c r="J15" s="17" t="str">
        <x:v>R2 已完成（2026-08-11）</x:v>
      </x:c>
      <x:c r="K15" s="17" t="str">
        <x:v>8月11日提前完成双周哨兵；8月29日进入固定55问完整复测</x:v>
      </x:c>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46263</x:v>
      </x:c>
      <x:c r="J30" s="17" t="str">
        <x:v>R2 已完成（2026-08-11）</x:v>
      </x:c>
      <x:c r="K30" s="17" t="str">
        <x:v>8月11日提前完成双周哨兵；8月29日进入固定55问完整复测</x:v>
      </x:c>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46263</x:v>
      </x:c>
      <x:c r="J32" s="17" t="str">
        <x:v>R2 已完成（2026-08-11）</x:v>
      </x:c>
      <x:c r="K32" s="17" t="str">
        <x:v>8月11日提前完成双周哨兵；8月29日进入固定55问完整复测</x:v>
      </x:c>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46263</x:v>
      </x:c>
      <x:c r="J40" s="17" t="str">
        <x:v>R2 已完成（2026-08-11）</x:v>
      </x:c>
      <x:c r="K40" s="17" t="str">
        <x:v>8月11日提前完成双周哨兵；8月29日进入固定55问完整复测</x:v>
      </x:c>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46263</x:v>
      </x:c>
      <x:c r="J45" s="17" t="str">
        <x:v>R2 已完成（2026-08-11）</x:v>
      </x:c>
      <x:c r="K45" s="17" t="str">
        <x:v>8月11日提前完成双周哨兵；8月29日进入固定55问完整复测</x:v>
      </x:c>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46263</x:v>
      </x:c>
      <x:c r="J46" s="17" t="str">
        <x:v>R2 已完成（2026-08-11）</x:v>
      </x:c>
      <x:c r="K46" s="17" t="str">
        <x:v>8月11日提前完成双周哨兵；8月29日进入固定55问完整复测</x:v>
      </x:c>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5a01c4bf9c9c43f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 + 6 项 P5 技术方法事实）</x:v>
      </x:c>
      <x:c r="B1" s="4"/>
      <x:c r="C1" s="4"/>
      <x:c r="D1" s="4"/>
      <x:c r="E1" s="4"/>
      <x:c r="F1" s="4"/>
      <x:c r="G1" s="4"/>
      <x:c r="H1" s="4"/>
      <x:c r="I1"/>
      <x:c r="J1"/>
      <x:c r="K1"/>
      <x:c r="L1"/>
      <x:c r="M1"/>
      <x:c r="N1"/>
      <x:c r="O1"/>
      <x:c r="P1"/>
      <x:c r="Q1"/>
      <x:c r="R1"/>
      <x:c r="S1"/>
      <x:c r="T1"/>
      <x:c r="U1"/>
      <x:c r="V1"/>
      <x:c r="W1"/>
      <x:c r="X1"/>
    </x:row>
    <x:row r="2" ht="54" customHeight="1">
      <x:c r="A2" s="4" t="str">
        <x:v>30 项事实单元与三门审核
15 项资料参数、6 项 P5 技术方法可发布；6 项青山高责任事实仍待底稿复核；3 项 P2 弱相关资料继续禁发。P5 技术方法可以按确认边界用于 C/D 权威主题页，但不得写成具体项目实际安装、实测或验收结果。</x:v>
      </x:c>
      <x:c r="B2" s="4"/>
      <x:c r="C2" s="4"/>
      <x:c r="D2" s="4"/>
      <x:c r="E2" s="4"/>
      <x:c r="F2" s="4"/>
      <x:c r="G2" s="4"/>
      <x:c r="H2" s="4"/>
      <x:c r="I2"/>
      <x:c r="J2"/>
      <x:c r="K2"/>
      <x:c r="L2"/>
      <x:c r="M2"/>
      <x:c r="N2"/>
      <x:c r="O2"/>
      <x:c r="P2"/>
      <x:c r="Q2"/>
      <x:c r="R2"/>
      <x:c r="S2"/>
      <x:c r="T2"/>
      <x:c r="U2"/>
      <x:c r="V2"/>
      <x:c r="W2"/>
      <x:c r="X2"/>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PC200–PC400 为设计适用支重轮型号范围；淬火炉额定温度 950℃；有效加热区 6400×300×300 mm；最大设计处理能力 500 kg/h，方案折算约 30 件/h。实际能力取决于单件重量、装炉方式、加热时间和生产节拍。</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可作为项目方案参数发布：面向 PC200–PC400 支重轮，额定温度 950℃，有效加热区 6400×300×300 mm，最大设计处理能力 500 kg/h（约 30 件/h）；必须保留实际能力边界。</x:v>
      </x:c>
      <x:c r="M5" s="25" t="str">
        <x:v>不得把 500 kg/h 或约 30 件/h 写成实际验收产能；不得将 8500/10500 mm 炉体或名义长度与 6400 mm 有效加热区混写。</x:v>
      </x:c>
      <x:c r="N5" s="25" t="str">
        <x:v>100_样本_支重轮热处理生产线_技术方案_20260519.pdf</x:v>
      </x:c>
      <x:c r="O5" s="25" t="str">
        <x:v>是</x:v>
      </x:c>
      <x:c r="P5" s="25" t="str">
        <x:v>否</x:v>
      </x:c>
      <x:c r="Q5" s="25" t="str">
        <x:v>济宁支重轮现有案例页</x:v>
      </x:c>
      <x:c r="R5" s="25" t="str">
        <x:v>资料确认</x:v>
      </x:c>
      <x:c r="S5" s="25" t="str">
        <x:v>通过</x:v>
      </x:c>
      <x:c r="T5" s="25" t="str">
        <x:v>通过</x:v>
      </x:c>
      <x:c r="U5" s="25" t="str">
        <x:f>IF(OR(R5="禁发",S5="禁发",T5="禁发"),"禁发",IF(AND(R5="资料确认",S5="通过",T5="通过"),"资料参数可发布",IF(AND(R5="行业推定",S5="通过",T5="通过"),"范围表达可发布",IF(AND(R5="通过",S5="通过",T5="通过"),"精确值可发布",IF(AND(S5="通过",R5="待唐工复核",T5="通过"),"公开（技术复核待完成）","待审核")))))</x:f>
        <x:v>资料参数可发布</x:v>
      </x:c>
      <x:c r="V5" s="25" t="str">
        <x:v>资料依据核对（非个人 reviewedBy）</x:v>
      </x:c>
      <x:c r="W5" s="26" t="n">
        <x:v>46232</x:v>
      </x:c>
      <x:c r="X5" s="25" t="str">
        <x:v>F07：F07 资料确认。PC200–PC400 为工件型号范围；950℃为额定温度，不是实际淬火工艺温度。资料确认不等于个人 reviewedBy，当前不启用唐工复核身份。</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2017 方案：正火炉有效宽度 800 mm、回火炉 1000 mm；2026 方案：正火炉工作宽度 1000 mm、回火炉 1200 mm。正火炉额定温度 950℃，回火炉额定温度 650℃；多区 PID 与网带变频调速为方案配置。</x:v>
      </x:c>
      <x:c r="J6" s="25" t="str">
        <x:v>正火与回火连续衔接、快速冷却与余热利用、托辊网带同步传动、工件冷却氧化控制。</x:v>
      </x:c>
      <x:c r="K6" s="25" t="str">
        <x:v>正火炉、冷却段、回火炉、温控与传动系统方案。</x:v>
      </x:c>
      <x:c r="L6" s="25" t="str">
        <x:v>资料参数可按年份和炉段分别发布。碳钢/低合金钢适用范围及正火 880–940℃、高温回火 550–650℃只能写为行业典型工况，最终按材料牌号、截面和性能要求确定。</x:v>
      </x:c>
      <x:c r="M6" s="25" t="str">
        <x:v>不得把不同年份、不同炉段的 800/1000/1200 mm 合并成一个项目的可选参数；不得把典型工艺或方案配置写成项目验收实绩。</x:v>
      </x:c>
      <x:c r="N6" s="25" t="str">
        <x:v>100_样本_托辊式网带正火回火生产线_技术方案_20170902.pdf；100_样本_托辊网带正火回火生产线_技术方案_20260519.pdf</x:v>
      </x:c>
      <x:c r="O6" s="25" t="str">
        <x:v>是</x:v>
      </x:c>
      <x:c r="P6" s="25" t="str">
        <x:v>否</x:v>
      </x:c>
      <x:c r="Q6" s="25" t="str">
        <x:v>连续热处理生产线现有方案页</x:v>
      </x:c>
      <x:c r="R6" s="25" t="str">
        <x:v>资料确认</x:v>
      </x:c>
      <x:c r="S6" s="25" t="str">
        <x:v>通过</x:v>
      </x:c>
      <x:c r="T6" s="25" t="str">
        <x:v>通过</x:v>
      </x:c>
      <x:c r="U6" s="25" t="str">
        <x:f>IF(OR(R6="禁发",S6="禁发",T6="禁发"),"禁发",IF(AND(R6="资料确认",S6="通过",T6="通过"),"资料参数可发布",IF(AND(R6="行业推定",S6="通过",T6="通过"),"范围表达可发布",IF(AND(R6="通过",S6="通过",T6="通过"),"精确值可发布",IF(AND(S6="通过",R6="待唐工复核",T6="通过"),"公开（技术复核待完成）","待审核")))))</x:f>
        <x:v>资料参数可发布</x:v>
      </x:c>
      <x:c r="V6" s="25" t="str">
        <x:v>资料依据核对（非个人 reviewedBy）</x:v>
      </x:c>
      <x:c r="W6" s="26" t="n">
        <x:v>46232</x:v>
      </x:c>
      <x:c r="X6" s="25" t="str">
        <x:v>F08：F08 混合口径：宽度与额定温度属于资料确认；材料及典型温度范围属于行业推定。官网须在同一事实单元内明确分层。</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2020 RCWT-360/220-9/6：淬火炉有效宽度 850 mm、回火炉 1000 mm、速度 30–250 mm/min；2026 RCWT-250/200-9/6：淬火炉有效宽度 800 mm、回火炉 1000 mm、速度 50–300 mm/min。额定温度分别为 950℃、650℃。</x:v>
      </x:c>
      <x:c r="J7" s="25" t="str">
        <x:v>长炉膛网带承载与托辊支撑、油槽提升与清洗段衔接、气氛/碳势控制、工件堆料状态对产能的影响。</x:v>
      </x:c>
      <x:c r="K7" s="25" t="str">
        <x:v>生产线工艺方案、淬火炉、油槽提升、清洗机、回火炉、气氛控制和电气联锁。</x:v>
      </x:c>
      <x:c r="L7" s="25" t="str">
        <x:v>按型号和年份拆开发布，不合并成通用参数；已将原“30–300 mm/min”纠正为 2026 方案的“50–300 mm/min”。</x:v>
      </x:c>
      <x:c r="M7" s="25" t="str">
        <x:v>不得把两个型号的宽度和速度拼成一组固定参数；950℃、650℃不得描述为实际工艺温度。</x:v>
      </x:c>
      <x:c r="N7" s="25" t="str">
        <x:v>100_样本_托辊式网带炉热处理生产线_技术方案_20200119.pdf；100_样本_托辊式网带炉热处理生产线（151）_技术方案_20260519.pdf</x:v>
      </x:c>
      <x:c r="O7" s="25" t="str">
        <x:v>是</x:v>
      </x:c>
      <x:c r="P7" s="25" t="str">
        <x:v>否</x:v>
      </x:c>
      <x:c r="Q7" s="25" t="str">
        <x:v>连续热处理生产线现有方案页</x:v>
      </x:c>
      <x:c r="R7" s="25" t="str">
        <x:v>资料确认</x:v>
      </x:c>
      <x:c r="S7" s="25" t="str">
        <x:v>通过</x:v>
      </x:c>
      <x:c r="T7" s="25" t="str">
        <x:v>通过</x:v>
      </x:c>
      <x:c r="U7" s="25" t="str">
        <x:f>IF(OR(R7="禁发",S7="禁发",T7="禁发"),"禁发",IF(AND(R7="资料确认",S7="通过",T7="通过"),"资料参数可发布",IF(AND(R7="行业推定",S7="通过",T7="通过"),"范围表达可发布",IF(AND(R7="通过",S7="通过",T7="通过"),"精确值可发布",IF(AND(S7="通过",R7="待唐工复核",T7="通过"),"公开（技术复核待完成）","待审核")))))</x:f>
        <x:v>资料参数可发布</x:v>
      </x:c>
      <x:c r="V7" s="25" t="str">
        <x:v>资料依据核对（非个人 reviewedBy）</x:v>
      </x:c>
      <x:c r="W7" s="26" t="n">
        <x:v>46232</x:v>
      </x:c>
      <x:c r="X7" s="25" t="str">
        <x:v>F09：F09 资料确认。官网和内部去重资料中的 30–300 mm/min 均应修正为 50–300 mm/min。</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RCWT-75/45-9/6：淬火段名义 75 kW、回火段名义 45 kW（方案实际增容至 60 kW）；额定温度通常为 950℃/650℃；有效尺寸 400×3200 mm / 400×5600 mm；网带速度 30–250 mm/min。最大设计能力约 150 kg/h，计算条件为 0.4 m×0.25 m/min×60×25 kg/㎡。</x:v>
      </x:c>
      <x:c r="J8" s="25" t="str">
        <x:v>小件保护气氛加热、油烟隔离、落料通道密封、炉内碳势或气氛稳定、清洗回火节拍衔接。</x:v>
      </x:c>
      <x:c r="K8" s="25" t="str">
        <x:v>保护气氛网带淬火炉、淬火槽、清洗机、回火炉、气氛控制和温控系统方案。</x:v>
      </x:c>
      <x:c r="L8" s="25" t="str">
        <x:v>尺寸、速度和带计算条件的设计能力可发布；速度工况只能写为典型选型说明，实际产能按工件、铺料和加热时间确定。</x:v>
      </x:c>
      <x:c r="M8" s="25" t="str">
        <x:v>不得把 150 kg/h 写成验收产能；不得把 75/45 型号功率与方案实际 60 kW 回火段配置混为同一口径。</x:v>
      </x:c>
      <x:c r="N8" s="25" t="str">
        <x:v>100_样本_可控气氛托辊网带炉生产线_技术方案_20260512.pdf</x:v>
      </x:c>
      <x:c r="O8" s="25" t="str">
        <x:v>是</x:v>
      </x:c>
      <x:c r="P8" s="25" t="str">
        <x:v>否</x:v>
      </x:c>
      <x:c r="Q8" s="25" t="str">
        <x:v>连续热处理生产线现有方案页</x:v>
      </x:c>
      <x:c r="R8" s="25" t="str">
        <x:v>资料确认</x:v>
      </x:c>
      <x:c r="S8" s="25" t="str">
        <x:v>通过</x:v>
      </x:c>
      <x:c r="T8" s="25" t="str">
        <x:v>通过</x:v>
      </x:c>
      <x:c r="U8" s="25" t="str">
        <x:f>IF(OR(R8="禁发",S8="禁发",T8="禁发"),"禁发",IF(AND(R8="资料确认",S8="通过",T8="通过"),"资料参数可发布",IF(AND(R8="行业推定",S8="通过",T8="通过"),"范围表达可发布",IF(AND(R8="通过",S8="通过",T8="通过"),"精确值可发布",IF(AND(S8="通过",R8="待唐工复核",T8="通过"),"公开（技术复核待完成）","待审核")))))</x:f>
        <x:v>资料参数可发布</x:v>
      </x:c>
      <x:c r="V8" s="25" t="str">
        <x:v>资料依据核对（非个人 reviewedBy）</x:v>
      </x:c>
      <x:c r="W8" s="26" t="n">
        <x:v>46232</x:v>
      </x:c>
      <x:c r="X8" s="25" t="str">
        <x:v>F10：F10 资料确认 + 行业推定。理论能力公式必须与数字同页出现，避免脱离铺料面密度被引用。</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有效加热区 9300×1000×100 mm；渗碳气氛淬火加热炉段功率 300 kW；最高工作温度 950℃。典型设计能力约 5000 件/24 h，最大工况约 6000 件/24 h，后者较前者高约 20%。</x:v>
      </x:c>
      <x:c r="J9" s="25" t="str">
        <x:v>渗碳气氛密封、油烟进入加热区控制、托辊与网带寿命、淬火槽温度与提升机构联动。</x:v>
      </x:c>
      <x:c r="K9" s="25" t="str">
        <x:v>渗碳气氛加热炉、淬火槽、托辊网带输送、气氛管路和控制系统。</x:v>
      </x:c>
      <x:c r="L9" s="25" t="str">
        <x:v>尺寸、炉段功率、最高工作温度和项目设计能力可发布；6000 件/24 h 只能写为提高速度、铺料密度或利用率后的最大设计工况。</x:v>
      </x:c>
      <x:c r="M9" s="25" t="str">
        <x:v>不得把 300 kW 写成全线总功率；不得把 5000/6000 件写成实际日产量；未知单件重量时不得换算为 kg/h。</x:v>
      </x:c>
      <x:c r="N9" s="25" t="str">
        <x:v>100_样本_网带式渗碳气氛热处理生产线_技术方案_2018.pdf</x:v>
      </x:c>
      <x:c r="O9" s="25" t="str">
        <x:v>是</x:v>
      </x:c>
      <x:c r="P9" s="25" t="str">
        <x:v>否</x:v>
      </x:c>
      <x:c r="Q9" s="25" t="str">
        <x:v>连续热处理生产线现有方案页</x:v>
      </x:c>
      <x:c r="R9" s="25" t="str">
        <x:v>资料确认</x:v>
      </x:c>
      <x:c r="S9" s="25" t="str">
        <x:v>通过</x:v>
      </x:c>
      <x:c r="T9" s="25" t="str">
        <x:v>通过</x:v>
      </x:c>
      <x:c r="U9" s="25" t="str">
        <x:f>IF(OR(R9="禁发",S9="禁发",T9="禁发"),"禁发",IF(AND(R9="资料确认",S9="通过",T9="通过"),"资料参数可发布",IF(AND(R9="行业推定",S9="通过",T9="通过"),"范围表达可发布",IF(AND(R9="通过",S9="通过",T9="通过"),"精确值可发布",IF(AND(S9="通过",R9="待唐工复核",T9="通过"),"公开（技术复核待完成）","待审核")))))</x:f>
        <x:v>资料参数可发布</x:v>
      </x:c>
      <x:c r="V9" s="25" t="str">
        <x:v>资料依据核对（非个人 reviewedBy）</x:v>
      </x:c>
      <x:c r="W9" s="26" t="n">
        <x:v>46232</x:v>
      </x:c>
      <x:c r="X9" s="25" t="str">
        <x:v>F11：F11 资料确认 + 设计边界。件/天必须同时说明工件规格、铺料密度、网带速度和连续运行时间。</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850 mm 为名义机组规格；实际带宽 480–750 mm、厚度 1.6–4.0 mm，面向 200/300 系不锈钢。带钢退火温度 1050–1150℃；1300℃为高温炉段最高设计能力。炉体约 130 m（40 m 预热 + 36 m 快速加热 + 54 m 均热），不含约 45 m 冷却/固溶段。设计 TV≈190 m·mm/min。</x:v>
      </x:c>
      <x:c r="J10" s="25" t="str">
        <x:v>带材高速连续退火固溶、敏化区快速通过、分段冷却、张力与板形控制、燃烧与余热利用。</x:v>
      </x:c>
      <x:c r="K10" s="25" t="str">
        <x:v>退火固溶段工艺设计、炉体与冷却段设备、燃烧与控制系统、安装调试配合。</x:v>
      </x:c>
      <x:c r="L10" s="25" t="str">
        <x:v>可作为河南 850 mm 退火固溶线项目方案参数发布；代表工况 1.8 mm×100 m/min=TV180，只用于解释 TV 计算。</x:v>
      </x:c>
      <x:c r="M10" s="25" t="str">
        <x:v>不得把 850 mm 写成实际带宽；不得把 1300℃写成带钢目标温度；不得把 130 m 写成含冷却段的整线长度。</x:v>
      </x:c>
      <x:c r="N10" s="25" t="str">
        <x:v>100_样本_连续退洗线退火固溶段设备_技术方案_20170726.doc</x:v>
      </x:c>
      <x:c r="O10" s="25" t="str">
        <x:v>是</x:v>
      </x:c>
      <x:c r="P10" s="25" t="str">
        <x:v>否</x:v>
      </x:c>
      <x:c r="Q10" s="25" t="str">
        <x:v>河南退火固溶现有案例页</x:v>
      </x:c>
      <x:c r="R10" s="25" t="str">
        <x:v>资料确认</x:v>
      </x:c>
      <x:c r="S10" s="25" t="str">
        <x:v>通过</x:v>
      </x:c>
      <x:c r="T10" s="25" t="str">
        <x:v>通过</x:v>
      </x:c>
      <x:c r="U10" s="25" t="str">
        <x:f>IF(OR(R10="禁发",S10="禁发",T10="禁发"),"禁发",IF(AND(R10="资料确认",S10="通过",T10="通过"),"资料参数可发布",IF(AND(R10="行业推定",S10="通过",T10="通过"),"范围表达可发布",IF(AND(R10="通过",S10="通过",T10="通过"),"精确值可发布",IF(AND(S10="通过",R10="待唐工复核",T10="通过"),"公开（技术复核待完成）","待审核")))))</x:f>
        <x:v>资料参数可发布</x:v>
      </x:c>
      <x:c r="V10" s="25" t="str">
        <x:v>资料依据核对（非个人 reviewedBy）</x:v>
      </x:c>
      <x:c r="W10" s="26" t="n">
        <x:v>46232</x:v>
      </x:c>
      <x:c r="X10" s="25" t="str">
        <x:v>F12：F12 资料确认。已有河南案例页承载，修正名义规格、实际带宽、炉段长度与 TV 口径。</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1250 mm 为名义机组规格及最大带宽；实际带宽 800–1250 mm、厚度 2.5–4.0 mm，适用 AISI 200/300 系不锈钢。额定工艺速度 40 m/min、最大 45 m/min；代表工况 1250×3.0 mm、TV120；带钢温度约 1080–1180℃；最大设计钢卷重量 28 t；加热/均热段约 105 m，不含固溶冷却段。</x:v>
      </x:c>
      <x:c r="J11" s="25" t="str">
        <x:v>宽带不锈钢连续处理、退火固溶段设备供货边界、圆盘辊/托辊快速更换、板温监控和多系统联动。</x:v>
      </x:c>
      <x:c r="K11" s="25" t="str">
        <x:v>退火固溶段设备、燃烧系统、冷却烘干系统、托辊与电控系统配套。</x:v>
      </x:c>
      <x:c r="L11" s="25" t="str">
        <x:v>可作为 1250 mm 连续退洗线项目方案参数发布，逐项标明名义规格、实际范围、额定/最大速度和炉段边界。</x:v>
      </x:c>
      <x:c r="M11" s="25" t="str">
        <x:v>不得把 1250 mm 当成所有带钢的实际宽度；不得把 105 m 写成含固溶冷却段的整线长度；不得写成实际验收产量。</x:v>
      </x:c>
      <x:c r="N11" s="25" t="str">
        <x:v>100_样本_鼎信科技连续退洗线（二期）退火固溶段设备_技术方案_20140923.doc</x:v>
      </x:c>
      <x:c r="O11" s="25" t="str">
        <x:v>是</x:v>
      </x:c>
      <x:c r="P11" s="25" t="str">
        <x:v>否</x:v>
      </x:c>
      <x:c r="Q11" s="25" t="str">
        <x:v>连续退洗线节能改造现有案例页</x:v>
      </x:c>
      <x:c r="R11" s="25" t="str">
        <x:v>资料确认</x:v>
      </x:c>
      <x:c r="S11" s="25" t="str">
        <x:v>通过</x:v>
      </x:c>
      <x:c r="T11" s="25" t="str">
        <x:v>通过</x:v>
      </x:c>
      <x:c r="U11" s="25" t="str">
        <x:f>IF(OR(R11="禁发",S11="禁发",T11="禁发"),"禁发",IF(AND(R11="资料确认",S11="通过",T11="通过"),"资料参数可发布",IF(AND(R11="行业推定",S11="通过",T11="通过"),"范围表达可发布",IF(AND(R11="通过",S11="通过",T11="通过"),"精确值可发布",IF(AND(S11="通过",R11="待唐工复核",T11="通过"),"公开（技术复核待完成）","待审核")))))</x:f>
        <x:v>资料参数可发布</x:v>
      </x:c>
      <x:c r="V11" s="25" t="str">
        <x:v>资料依据核对（非个人 reviewedBy）</x:v>
      </x:c>
      <x:c r="W11" s="26" t="n">
        <x:v>46232</x:v>
      </x:c>
      <x:c r="X11" s="25" t="str">
        <x:v>F13：F13 资料确认。可支撑连续退洗线案例的设备能力描述，但不替代 F02–F04 的经济测算底稿。</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三条 1250 mm 连续退洗线由天然气改为冷煤气；热值与耗量换算口径为天然气 8500 kcal/Nm³、约 30 Nm³/t，对比冷煤气 1450 kcal/Nm³、约 180–200 Nm³/t。冷煤气总设计量 17150 Nm³/h，接口压力 20±3 kPa；采用双交叉限幅控制。</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可发布项目燃料转换、流量压力、控制方法和改造范围；热平衡复算、管阀压力复核、烧嘴选型、氧量修正、排烟炉压匹配、安全联锁和利旧评估可写成通用方法。</x:v>
      </x:c>
      <x:c r="M12" s="25" t="str">
        <x:v>不得把冷煤气、DN700、104 套烧嘴、10 区、75 kW 风机、三条线和 2015 年经济参数外推成通用配置；不得据此自动认定 F02–F04 经济结果为实绩。</x:v>
      </x:c>
      <x:c r="N12" s="25" t="str">
        <x:v>100_样本_一期连续退洗线退火炉燃烧系统及固溶段设备技术改造_技术方案_20151009.doc</x:v>
      </x:c>
      <x:c r="O12" s="25" t="str">
        <x:v>是</x:v>
      </x:c>
      <x:c r="P12" s="25" t="str">
        <x:v>否</x:v>
      </x:c>
      <x:c r="Q12" s="25" t="str">
        <x:v>连续退洗线节能改造现有案例页</x:v>
      </x:c>
      <x:c r="R12" s="25" t="str">
        <x:v>资料确认</x:v>
      </x:c>
      <x:c r="S12" s="25" t="str">
        <x:v>通过</x:v>
      </x:c>
      <x:c r="T12" s="25" t="str">
        <x:v>通过</x:v>
      </x:c>
      <x:c r="U12" s="25" t="str">
        <x:f>IF(OR(R12="禁发",S12="禁发",T12="禁发"),"禁发",IF(AND(R12="资料确认",S12="通过",T12="通过"),"资料参数可发布",IF(AND(R12="行业推定",S12="通过",T12="通过"),"范围表达可发布",IF(AND(R12="通过",S12="通过",T12="通过"),"精确值可发布",IF(AND(S12="通过",R12="待唐工复核",T12="通过"),"公开（技术复核待完成）","待审核")))))</x:f>
        <x:v>资料参数可发布</x:v>
      </x:c>
      <x:c r="V12" s="25" t="str">
        <x:v>资料依据核对（非个人 reviewedBy）</x:v>
      </x:c>
      <x:c r="W12" s="26" t="n">
        <x:v>46232</x:v>
      </x:c>
      <x:c r="X12" s="25" t="str">
        <x:v>F14：F14 资料确认。技术方案可确认三条 1250 mm 及燃料改造口径，但 7,644 万元/年、63.7 元/吨、120 万吨/年仍按项目测算事实单独管理。</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850 与 1250 为两个 HAPL 项目：2021 青拓 850 项目、2024 无锡硕阳 1250 项目。炉体为预热段 + 4 个加热段，每个加热段分 2 个控温区，约 8 区控制；700–1200℃为工艺覆盖范围。冷却/干燥段出口以红外测温，目标低于 80℃；验收条件为同规格连续稳定生产 3 卷时考核。</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可按两个项目分别发布炉体结构、温区和项目考核条件，不合并成一个项目。</x:v>
      </x:c>
      <x:c r="M13" s="25" t="str">
        <x:v>不得把 700–1200℃写成设备最高能力；不得把两个项目混为一条通用规格；无验收记录时不得写成已经达到低于 80℃。</x:v>
      </x:c>
      <x:c r="N13" s="25" t="str">
        <x:v>100_样本_青拓不锈钢热轧退火酸洗项目退火炉_技术方案_2021.doc；100_样本_无锡硕阳热轧退火酸洗项目退火炉_技术方案_20240423.doc</x:v>
      </x:c>
      <x:c r="O13" s="25" t="str">
        <x:v>是</x:v>
      </x:c>
      <x:c r="P13" s="25" t="str">
        <x:v>否</x:v>
      </x:c>
      <x:c r="Q13" s="25" t="str">
        <x:v>连续热处理生产线现有方案页</x:v>
      </x:c>
      <x:c r="R13" s="25" t="str">
        <x:v>资料确认</x:v>
      </x:c>
      <x:c r="S13" s="25" t="str">
        <x:v>通过</x:v>
      </x:c>
      <x:c r="T13" s="25" t="str">
        <x:v>通过</x:v>
      </x:c>
      <x:c r="U13" s="25" t="str">
        <x:f>IF(OR(R13="禁发",S13="禁发",T13="禁发"),"禁发",IF(AND(R13="资料确认",S13="通过",T13="通过"),"资料参数可发布",IF(AND(R13="行业推定",S13="通过",T13="通过"),"范围表达可发布",IF(AND(R13="通过",S13="通过",T13="通过"),"精确值可发布",IF(AND(S13="通过",R13="待唐工复核",T13="通过"),"公开（技术复核待完成）","待审核")))))</x:f>
        <x:v>资料参数可发布</x:v>
      </x:c>
      <x:c r="V13" s="25" t="str">
        <x:v>资料依据核对（非个人 reviewedBy）</x:v>
      </x:c>
      <x:c r="W13" s="26" t="n">
        <x:v>46232</x:v>
      </x:c>
      <x:c r="X13" s="25" t="str">
        <x:v>F15：F15 资料确认。官网应明确两个不同年份、不同机组规格项目。</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同一生产线含 2 台燃气加热炉；单台有效工作尺寸 2500×1600×800 mm，每台 4 套 250 kW 级低氮天然气烧嘴，燃烧装机能力约 1000 kW。助燃空气设计预热至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尺寸、数量、烧嘴级别和燃烧输入能力可作为方案参数发布；NOx 只能写“按所在地排放要求设计，并以有资质现场检测为准”。</x:v>
      </x:c>
      <x:c r="M14" s="25" t="str">
        <x:v>不得把 1000 kW 写成电气功率；不得把 200–300℃写成实测温度；不得写“实测 NOx 低于 150–200 mg/Nm³”或固定达标。</x:v>
      </x:c>
      <x:c r="N14" s="25" t="str">
        <x:v>100_样本_低氮氧化物燃气加热炉生产线_技术方案_20200811.pdf</x:v>
      </x:c>
      <x:c r="O14" s="25" t="str">
        <x:v>是</x:v>
      </x:c>
      <x:c r="P14" s="25" t="str">
        <x:v>否</x:v>
      </x:c>
      <x:c r="Q14" s="25" t="str">
        <x:v>连续热处理生产线现有方案页</x:v>
      </x:c>
      <x:c r="R14" s="25" t="str">
        <x:v>资料确认</x:v>
      </x:c>
      <x:c r="S14" s="25" t="str">
        <x:v>通过</x:v>
      </x:c>
      <x:c r="T14" s="25" t="str">
        <x:v>通过</x:v>
      </x:c>
      <x:c r="U14" s="25" t="str">
        <x:f>IF(OR(R14="禁发",S14="禁发",T14="禁发"),"禁发",IF(AND(R14="资料确认",S14="通过",T14="通过"),"资料参数可发布",IF(AND(R14="行业推定",S14="通过",T14="通过"),"范围表达可发布",IF(AND(R14="通过",S14="通过",T14="通过"),"精确值可发布",IF(AND(S14="通过",R14="待唐工复核",T14="通过"),"公开（技术复核待完成）","待审核")))))</x:f>
        <x:v>资料参数可发布</x:v>
      </x:c>
      <x:c r="V14" s="25" t="str">
        <x:v>资料依据核对（非个人 reviewedBy）</x:v>
      </x:c>
      <x:c r="W14" s="26" t="n">
        <x:v>46232</x:v>
      </x:c>
      <x:c r="X14" s="25" t="str">
        <x:v>F16：F16 核心参数资料确认，NOx 150–200 mg/Nm³仅为行业设计目标，不在官网作为项目实绩发布。</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单台炉合同设计/保证能力 750 t/d；代表计算条件为 J3A、2.3×600 mm、双带、26.6 m/min。带钢宽 485–610 mm；原料厚 2.0–3.5 mm、产品厚 2.0–5.5 mm。炉体约 110 m（25.6 m 预热 + 84.4 m 加热/均热），含水冷挤干干燥约 125.4 m。资料反推 106 套烧嘴，装机约 16680 kW，设计需用约 10500 kW。</x:v>
      </x:c>
      <x:c r="J15" s="25" t="str">
        <x:v>双带无张力退火、预热和均热段组织、带钢冷却至规定出口温度、收放卷和纠偏边界协同。</x:v>
      </x:c>
      <x:c r="K15" s="25" t="str">
        <x:v>连续退火炉、燃烧系统、冷却烘干段、温控和联锁系统，配合产线边界实施。</x:v>
      </x:c>
      <x:c r="L15" s="25" t="str">
        <x:v>可发布合同设计能力、代表计算条件、材料范围和长度边界；烧嘴数量应说明为按参数与总数核对后的方案口径。</x:v>
      </x:c>
      <x:c r="M15" s="25" t="str">
        <x:v>不得把 750 t/d 写成实际日产量；不得把原料厚度与产品厚度混写；第六区 17 套疑似文字错误，不直接作为精确事实引用。</x:v>
      </x:c>
      <x:c r="N15" s="25" t="str">
        <x:v>100_样本_不锈钢连续退火炉（双带炉）_技术方案_20220808.doc</x:v>
      </x:c>
      <x:c r="O15" s="25" t="str">
        <x:v>是</x:v>
      </x:c>
      <x:c r="P15" s="25" t="str">
        <x:v>否</x:v>
      </x:c>
      <x:c r="Q15" s="25" t="str">
        <x:v>连续热处理生产线现有方案页</x:v>
      </x:c>
      <x:c r="R15" s="25" t="str">
        <x:v>资料确认</x:v>
      </x:c>
      <x:c r="S15" s="25" t="str">
        <x:v>通过</x:v>
      </x:c>
      <x:c r="T15" s="25" t="str">
        <x:v>通过</x:v>
      </x:c>
      <x:c r="U15" s="25" t="str">
        <x:f>IF(OR(R15="禁发",S15="禁发",T15="禁发"),"禁发",IF(AND(R15="资料确认",S15="通过",T15="通过"),"资料参数可发布",IF(AND(R15="行业推定",S15="通过",T15="通过"),"范围表达可发布",IF(AND(R15="通过",S15="通过",T15="通过"),"精确值可发布",IF(AND(S15="通过",R15="待唐工复核",T15="通过"),"公开（技术复核待完成）","待审核")))))</x:f>
        <x:v>资料参数可发布</x:v>
      </x:c>
      <x:c r="V15" s="25" t="str">
        <x:v>资料依据核对（非个人 reviewedBy）</x:v>
      </x:c>
      <x:c r="W15" s="26" t="n">
        <x:v>46232</x:v>
      </x:c>
      <x:c r="X15" s="25" t="str">
        <x:v>F17：F17 资料确认。第六区采用 18 套仅作为资料校核结论，官网优先发布总数与总装机口径，不展开疑似错字。</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一套铜合金线材退火系统包含 4 个炉室；额定温度 700℃、使用 550–700℃；每室 200 kW、4 室合计 800 kW，整套系统含辅助设备不超过约 860 kW。装料有效区 Φ1710×1600 mm；炉室有效尺寸 2100×2000×1800 mm；氮气保护；每室 7.5 kW 顶部循环风机；S7-1200 PLC、14 英寸 HMI、每室 2 区 PID。</x:v>
      </x:c>
      <x:c r="J16" s="25" t="str">
        <x:v>铜合金线材装料方式、保护气氛、热风循环均匀性、自动装卸料小车与多炉联动。</x:v>
      </x:c>
      <x:c r="K16" s="25" t="str">
        <x:v>室式退火炉、热风循环、氮气管路、自动装卸料和控制系统方案。</x:v>
      </x:c>
      <x:c r="L16" s="25" t="str">
        <x:v>可在箱式炉现有产品页写为“项目方案配置”，明确是一套系统、四个炉室。</x:v>
      </x:c>
      <x:c r="M16" s="25" t="str">
        <x:v>不得把四个炉室写成四个无关项目；不得把方案配置写成已经验收的实绩。</x:v>
      </x:c>
      <x:c r="N16" s="25" t="str">
        <x:v>100_样本_芜湖楚江合金铜材有限公司 室式电加热退火炉_技术方案_20260511.pdf</x:v>
      </x:c>
      <x:c r="O16" s="25" t="str">
        <x:v>是</x:v>
      </x:c>
      <x:c r="P16" s="25" t="str">
        <x:v>否</x:v>
      </x:c>
      <x:c r="Q16" s="25" t="str">
        <x:v>箱式炉现有产品页</x:v>
      </x:c>
      <x:c r="R16" s="25" t="str">
        <x:v>资料确认</x:v>
      </x:c>
      <x:c r="S16" s="25" t="str">
        <x:v>通过</x:v>
      </x:c>
      <x:c r="T16" s="25" t="str">
        <x:v>通过</x:v>
      </x:c>
      <x:c r="U16" s="25" t="str">
        <x:f>IF(OR(R16="禁发",S16="禁发",T16="禁发"),"禁发",IF(AND(R16="资料确认",S16="通过",T16="通过"),"资料参数可发布",IF(AND(R16="行业推定",S16="通过",T16="通过"),"范围表达可发布",IF(AND(R16="通过",S16="通过",T16="通过"),"精确值可发布",IF(AND(S16="通过",R16="待唐工复核",T16="通过"),"公开（技术复核待完成）","待审核")))))</x:f>
        <x:v>资料参数可发布</x:v>
      </x:c>
      <x:c r="V16" s="25" t="str">
        <x:v>资料依据核对（非个人 reviewedBy）</x:v>
      </x:c>
      <x:c r="W16" s="26" t="n">
        <x:v>46232</x:v>
      </x:c>
      <x:c r="X16" s="25" t="str">
        <x:v>F18：F18 资料确认。官网不得使用“已验收项目”措辞。</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2017 新建台车式轴承钢丝球化退火炉：有效炉膛 10×3×2.2 m；最高设计温度 850℃；常用球化退火 790–810℃；最大装炉量 30 t（不含工装和垫铁）；有效区炉温均匀性设计要求 ≤±5℃。2018 资料为同尺寸炉型燃烧控制改造方案。</x:v>
      </x:c>
      <x:c r="J17" s="25" t="str">
        <x:v>钢丝盘卷或线材装炉、球化退火工艺曲线、温度均匀性和炉内承载方式。</x:v>
      </x:c>
      <x:c r="K17" s="25" t="str">
        <x:v>台车式球化退火炉方案、制造或改造、安装调试配合。</x:v>
      </x:c>
      <x:c r="L17" s="25" t="str">
        <x:v>产品页只采用 2017 新炉参数；典型 GCr15 工艺曲线、组织 2–4 级和 179–207 HBW 只能作为行业典型说明。</x:v>
      </x:c>
      <x:c r="M17" s="25" t="str">
        <x:v>不得把 2017 新炉与 2018 改造混成一个项目；不得把典型曲线、组织、硬度或均匀性要求写成该项目实际验收结果。</x:v>
      </x:c>
      <x:c r="N17" s="25" t="str">
        <x:v>100_样本_台车式轴承钢丝球化退火炉_技术方案_20170421.pdf；100_样本_台车式轴承钢丝球化退火炉_技术方案_20180226.pdf</x:v>
      </x:c>
      <x:c r="O17" s="25" t="str">
        <x:v>是</x:v>
      </x:c>
      <x:c r="P17" s="25" t="str">
        <x:v>否</x:v>
      </x:c>
      <x:c r="Q17" s="25" t="str">
        <x:v>台车炉现有产品页</x:v>
      </x:c>
      <x:c r="R17" s="25" t="str">
        <x:v>资料确认</x:v>
      </x:c>
      <x:c r="S17" s="25" t="str">
        <x:v>通过</x:v>
      </x:c>
      <x:c r="T17" s="25" t="str">
        <x:v>通过</x:v>
      </x:c>
      <x:c r="U17" s="25" t="str">
        <x:f>IF(OR(R17="禁发",S17="禁发",T17="禁发"),"禁发",IF(AND(R17="资料确认",S17="通过",T17="通过"),"资料参数可发布",IF(AND(R17="行业推定",S17="通过",T17="通过"),"范围表达可发布",IF(AND(R17="通过",S17="通过",T17="通过"),"精确值可发布",IF(AND(S17="通过",R17="待唐工复核",T17="通过"),"公开（技术复核待完成）","待审核")))))</x:f>
        <x:v>资料参数可发布</x:v>
      </x:c>
      <x:c r="V17" s="25" t="str">
        <x:v>资料依据核对（非个人 reviewedBy）</x:v>
      </x:c>
      <x:c r="W17" s="26" t="n">
        <x:v>46232</x:v>
      </x:c>
      <x:c r="X17" s="25" t="str">
        <x:v>F19：F19 核心参数资料确认，工艺曲线与组织指标为行业推定。改造案例不新建页面，等待 UI 审核门。</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超大型台车炉有效加热区 13×7.4×4.3 m；额定/最高使用温度 700℃；原电阻炉改为天然气燃气炉。按 14 个温控区及 14×630 kW=8820 kW 核对，方案采用 14 套 630 kW 级高速天然气烧嘴；助燃空气 250–300℃为设计目标。</x:v>
      </x:c>
      <x:c r="J18" s="25" t="str">
        <x:v>原电阻炉改燃气、超大炉膛密封、炉压控制、烧嘴布置、余热回收和安全联锁。</x:v>
      </x:c>
      <x:c r="K18" s="25" t="str">
        <x:v>电改燃方案、燃烧系统、密封改造、炉压与排烟余热回收、控制系统升级。</x:v>
      </x:c>
      <x:c r="L18" s="25" t="str">
        <x:v>有效尺寸、温度、能源改造方向和 14 区/8820 kW 方案口径可发布；烧嘴布置只能作为设计推定，不写品牌型号。</x:v>
      </x:c>
      <x:c r="M18" s="25" t="str">
        <x:v>不得采用旧模板“10 套烧嘴”；不得编造烧嘴品牌型号；不得把两侧各 7 套或 250–300℃写成实测验收结果。</x:v>
      </x:c>
      <x:c r="N18" s="25" t="str">
        <x:v>100_样本_节能燃气式台车式退火炉改造_技术方案_2020.pdf</x:v>
      </x:c>
      <x:c r="O18" s="25" t="str">
        <x:v>是</x:v>
      </x:c>
      <x:c r="P18" s="25" t="str">
        <x:v>否</x:v>
      </x:c>
      <x:c r="Q18" s="25" t="str">
        <x:v>台车炉现有产品页</x:v>
      </x:c>
      <x:c r="R18" s="25" t="str">
        <x:v>资料确认</x:v>
      </x:c>
      <x:c r="S18" s="25" t="str">
        <x:v>通过</x:v>
      </x:c>
      <x:c r="T18" s="25" t="str">
        <x:v>通过</x:v>
      </x:c>
      <x:c r="U18" s="25" t="str">
        <x:f>IF(OR(R18="禁发",S18="禁发",T18="禁发"),"禁发",IF(AND(R18="资料确认",S18="通过",T18="通过"),"资料参数可发布",IF(AND(R18="行业推定",S18="通过",T18="通过"),"范围表达可发布",IF(AND(R18="通过",S18="通过",T18="通过"),"精确值可发布",IF(AND(S18="通过",R18="待唐工复核",T18="通过"),"公开（技术复核待完成）","待审核")))))</x:f>
        <x:v>资料参数可发布</x:v>
      </x:c>
      <x:c r="V18" s="25" t="str">
        <x:v>资料依据核对（非个人 reviewedBy）</x:v>
      </x:c>
      <x:c r="W18" s="26" t="n">
        <x:v>46232</x:v>
      </x:c>
      <x:c r="X18" s="25" t="str">
        <x:v>F20：F20 核心参数资料确认，具体布置为行业推定。官网使用“630 kW 级高速天然气烧嘴”。</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REWF-45-9 马弗式保护气氛电加热网带炉：额定功率 45 kW、额定/最高工作温度约 950℃；加热长度 2100 mm、名义网带宽 200 mm、有效工作宽 180 mm、有效装料高度 50 mm；网带速度 10–114 mm/min；理论停留时间约 18.4–210 min。最大设计能力约 60 kg/h，计算为 0.18×0.114×60×50=61.56 kg/h。</x:v>
      </x:c>
      <x:c r="J19" s="25" t="str">
        <x:v>小型工件保护气氛、马弗罐密封、网带传动和活动料框出料、淬火油槽温度控制。</x:v>
      </x:c>
      <x:c r="K19" s="25" t="str">
        <x:v>马弗式保护气氛网带炉、淬火油槽、气氛和温控系统。</x:v>
      </x:c>
      <x:c r="L19" s="25" t="str">
        <x:v>尺寸、速度和带计算条件的最大设计能力可发布；实际产量按工件、铺料和加热时间确定。</x:v>
      </x:c>
      <x:c r="M19" s="25" t="str">
        <x:v>不得把 60 kg/h 写成实际验收产量；不得脱离最大速度和 50 kg/㎡面载荷引用该数字。</x:v>
      </x:c>
      <x:c r="N19" s="25" t="str">
        <x:v>100_样本_马弗式保护气氛网带炉_技术方案_20201114.pdf</x:v>
      </x:c>
      <x:c r="O19" s="25" t="str">
        <x:v>是</x:v>
      </x:c>
      <x:c r="P19" s="25" t="str">
        <x:v>否</x:v>
      </x:c>
      <x:c r="Q19" s="25" t="str">
        <x:v>网带炉现有产品页</x:v>
      </x:c>
      <x:c r="R19" s="25" t="str">
        <x:v>资料确认</x:v>
      </x:c>
      <x:c r="S19" s="25" t="str">
        <x:v>通过</x:v>
      </x:c>
      <x:c r="T19" s="25" t="str">
        <x:v>通过</x:v>
      </x:c>
      <x:c r="U19" s="25" t="str">
        <x:f>IF(OR(R19="禁发",S19="禁发",T19="禁发"),"禁发",IF(AND(R19="资料确认",S19="通过",T19="通过"),"资料参数可发布",IF(AND(R19="行业推定",S19="通过",T19="通过"),"范围表达可发布",IF(AND(R19="通过",S19="通过",T19="通过"),"精确值可发布",IF(AND(S19="通过",R19="待唐工复核",T19="通过"),"公开（技术复核待完成）","待审核")))))</x:f>
        <x:v>资料参数可发布</x:v>
      </x:c>
      <x:c r="V19" s="25" t="str">
        <x:v>资料依据核对（非个人 reviewedBy）</x:v>
      </x:c>
      <x:c r="W19" s="26" t="n">
        <x:v>46232</x:v>
      </x:c>
      <x:c r="X19" s="25" t="str">
        <x:v>F21：F21 资料确认。公式、单位与适用条件必须和设计能力同页呈现。</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禁发</x:v>
      </x:c>
      <x:c r="T20" s="25" t="str">
        <x:v>通过</x:v>
      </x:c>
      <x:c r="U20" s="25" t="str">
        <x:f>IF(OR(R20="禁发",S20="禁发",T20="禁发"),"禁发",IF(AND(R20="资料确认",S20="通过",T20="通过"),"资料参数可发布",IF(AND(R20="行业推定",S20="通过",T20="通过"),"范围表达可发布",IF(AND(R20="通过",S20="通过",T20="通过"),"精确值可发布",IF(AND(S20="通过",R20="待唐工复核",T20="通过"),"公开（技术复核待完成）","待审核")))))</x:f>
        <x:v>禁发</x:v>
      </x:c>
      <x:c r="V20" s="25"/>
      <x:c r="W20" s="26"/>
      <x:c r="X20" s="25" t="str">
        <x:v>P2，暂不进入官网案例池。
2026-07-29 授权确认：钱波确认台账当前表述均已获授权；授权范围限于本行已记录的公开或脱敏内容。
GEO 决策：与当前热处理炉主线相关性弱，继续内部留存，不公开。</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禁发</x:v>
      </x:c>
      <x:c r="T21" s="25" t="str">
        <x:v>通过</x:v>
      </x:c>
      <x:c r="U21" s="25" t="str">
        <x:f>IF(OR(R21="禁发",S21="禁发",T21="禁发"),"禁发",IF(AND(R21="资料确认",S21="通过",T21="通过"),"资料参数可发布",IF(AND(R21="行业推定",S21="通过",T21="通过"),"范围表达可发布",IF(AND(R21="通过",S21="通过",T21="通过"),"精确值可发布",IF(AND(S21="通过",R21="待唐工复核",T21="通过"),"公开（技术复核待完成）","待审核")))))</x:f>
        <x:v>禁发</x:v>
      </x:c>
      <x:c r="V21" s="25"/>
      <x:c r="W21" s="26"/>
      <x:c r="X21" s="25" t="str">
        <x:v>P2，只能作为生产线配套资产引用。
2026-07-29 授权确认：钱波确认台账当前表述均已获授权；授权范围限于本行已记录的公开或脱敏内容。
GEO 决策：与当前热处理炉主线相关性弱，继续内部留存，不公开。</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禁发</x:v>
      </x:c>
      <x:c r="T22" s="25" t="str">
        <x:v>通过</x:v>
      </x:c>
      <x:c r="U22" s="25" t="str">
        <x:f>IF(OR(R22="禁发",S22="禁发",T22="禁发"),"禁发",IF(AND(R22="资料确认",S22="通过",T22="通过"),"资料参数可发布",IF(AND(R22="行业推定",S22="通过",T22="通过"),"范围表达可发布",IF(AND(R22="通过",S22="通过",T22="通过"),"精确值可发布",IF(AND(S22="通过",R22="待唐工复核",T22="通过"),"公开（技术复核待完成）","待审核")))))</x:f>
        <x:v>禁发</x:v>
      </x:c>
      <x:c r="V22" s="25"/>
      <x:c r="W22" s="26"/>
      <x:c r="X22" s="25" t="str">
        <x:v>P2，建议暂存内部资料池。
2026-07-29 授权确认：钱波确认台账当前表述均已获授权；授权范围限于本行已记录的公开或脱敏内容。
GEO 决策：与当前热处理炉主线相关性弱，继续内部留存，不公开。</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一期1250mm连续退洗线（三条线）；1250mm为机组名义规格及方案最大带宽，方案产品宽度范围为800～1250mm。</x:v>
      </x:c>
      <x:c r="J23" t="str">
        <x:v>3条线和1250mm由同一项目合同与技术方案直接确认；实际运行带宽仍取决于产品规格。</x:v>
      </x:c>
      <x:c r="K23" t="str">
        <x:v>合同/技术方案资料核对，确认项目数量、名义规格和产品宽度边界。</x:v>
      </x:c>
      <x:c r="L23" t="str">
        <x:v>一期1250mm连续退洗线三线改造；1250mm为机组名义规格和本方案最大带宽，实际处理带宽范围为800～1250mm。</x:v>
      </x:c>
      <x:c r="M23" t="str">
        <x:v>不得把1250mm写成所有工况下的固定实际带宽；不得跨项目套用数量和规格；不得用脱敏线索反推客户主体。</x:v>
      </x:c>
      <x:c r="N23" t="str">
        <x:v>主合同第2页“项目内容及配置清单”：一期1250mm连续退洗线（三条线），规格DXKJ-1250-GZ；本项目技术方案“一、项目内容”数量3线及“产品规格”B=800～1250mm。</x:v>
      </x:c>
      <x:c r="O23" t="str">
        <x:v>是</x:v>
      </x:c>
      <x:c r="P23" t="str">
        <x:v>否</x:v>
      </x:c>
      <x:c r="Q23" t="str">
        <x:v>连续退洗线节能改造现有案例页</x:v>
      </x:c>
      <x:c r="R23" t="str">
        <x:v>资料确认</x:v>
      </x:c>
      <x:c r="S23" t="str">
        <x:v>通过</x:v>
      </x:c>
      <x:c r="T23" t="str">
        <x:v>通过</x:v>
      </x:c>
      <x:c r="U23" t="str">
        <x:f>IF(OR(R23="禁发",S23="禁发",T23="禁发"),"禁发",IF(AND(R23="资料确认",S23="通过",T23="通过"),"资料参数可发布",IF(AND(R23="行业推定",S23="通过",T23="通过"),"范围表达可发布",IF(AND(R23="通过",S23="通过",T23="通过"),"精确值可发布",IF(AND(S23="通过",R23="待唐工复核",T23="通过"),"公开（技术复核待完成）","待审核")))))</x:f>
        <x:v>资料参数可发布</x:v>
      </x:c>
      <x:c r="V23" t="str">
        <x:v>合同/技术方案资料核对</x:v>
      </x:c>
      <x:c r="W23" s="30" t="n">
        <x:v>46234</x:v>
      </x:c>
      <x:c r="X23" t="str">
        <x:v>2026-07-31 原件核查：主合同第2页及本项目技术方案直接写明3线、1250mm；参数表给出B=800～1250mm。可按项目规格发布，必须保留宽度边界；不等于长期运行记录。</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2015年技术方案测算值：7,644万元/年=(117-53.3)元/吨×120万吨/年。</x:v>
      </x:c>
      <x:c r="J24" t="str">
        <x:v>方案以天然气改冷煤气、能源价格和三条线年产量假设进行经济性测算；不是客户实际财务结果或验收结果。</x:v>
      </x:c>
      <x:c r="K24" t="str">
        <x:v>复核方案计算公式；后续仍需改造前后同工况能耗台账、实际能源价格、税口径和客户确认痕迹。</x:v>
      </x:c>
      <x:c r="L24" t="str">
        <x:v>2015年技术方案按当时能源价格和三条线年产量假设测算，年燃料成本差额约7,644万元；仅适用于本项目方案测算，不代表实际收益。</x:v>
      </x:c>
      <x:c r="M24" t="str">
        <x:v>不得写成客户实际收益、验收结果或通用节能承诺；唐工复核前不得跨页面或站外复用。</x:v>
      </x:c>
      <x:c r="N24" t="str">
        <x:v>本项目技术方案“三、项目说明—A、经济性分析”：天然气117元/吨、冷煤气53.3元/吨，三条线按年产量120万吨计算，(117-53.3)×120万吨=7644万元。未检出实际能耗/财务验收底稿。</x:v>
      </x:c>
      <x:c r="O24" t="str">
        <x:v>是</x:v>
      </x:c>
      <x:c r="P24" t="str">
        <x:v>否</x:v>
      </x:c>
      <x:c r="Q24" t="str">
        <x:v>连续退洗线节能改造现有案例页</x:v>
      </x:c>
      <x:c r="R24" t="str">
        <x:v>待唐工复核</x:v>
      </x:c>
      <x:c r="S24" t="str">
        <x:v>通过</x:v>
      </x:c>
      <x:c r="T24" t="str">
        <x:v>通过</x:v>
      </x:c>
      <x:c r="U24" t="str">
        <x:f>IF(OR(R24="禁发",S24="禁发",T24="禁发"),"禁发",IF(AND(R24="资料确认",S24="通过",T24="通过"),"资料参数可发布",IF(AND(R24="行业推定",S24="通过",T24="通过"),"范围表达可发布",IF(AND(R24="通过",S24="通过",T24="通过"),"精确值可发布",IF(AND(S24="通过",R24="待唐工复核",T24="通过"),"公开（技术复核待完成）","待审核")))))</x:f>
        <x:v>公开（技术复核待完成）</x:v>
      </x:c>
      <x:c r="V24" t="str">
        <x:v>待安排：唐工</x:v>
      </x:c>
      <x:c r="W24" s="30"/>
      <x:c r="X24" t="str">
        <x:v>2026-07-31 原件核查：测算公式有技术方案出处，但未检出实际能耗/财务验收底稿，也未明确基准期、测算期和税口径。当前只能标为方案测算，不能升级为实际结果。</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2015年技术方案测算值：天然气117元/吨-冷煤气53.3元/吨=63.7元/吨燃料成本差额。</x:v>
      </x:c>
      <x:c r="J25" t="str">
        <x:v>分母为吨钢，分子只覆盖方案中的燃料成本差额；能源价格、热值、税口径和统计期决定结果。</x:v>
      </x:c>
      <x:c r="K25" t="str">
        <x:v>复核方案算术来源；后续仍需实际能源单价、热值、同工况吨钢能耗和完整统计期。</x:v>
      </x:c>
      <x:c r="L25" t="str">
        <x:v>2015年技术方案按当时能源价格测算，单位吨钢燃料成本差额为63.7元；仅为本项目方案测算，不代表全部生产成本或实际验收结果。</x:v>
      </x:c>
      <x:c r="M25" t="str">
        <x:v>不得扩展成全部生产成本降幅；不得脱离能源价格和项目工况引用；唐工复核前不得跨页面或站外复用。</x:v>
      </x:c>
      <x:c r="N25" t="str">
        <x:v>本项目技术方案“三、项目说明—A、经济性分析”：30Nm³/吨×3.9元/Nm³=117元/吨；标准煤暂估800元/吨，冷煤气折算53.3元/吨钢；差额63.7元/吨。未检出实际单位成本验证底稿。</x:v>
      </x:c>
      <x:c r="O25" t="str">
        <x:v>是</x:v>
      </x:c>
      <x:c r="P25" t="str">
        <x:v>否</x:v>
      </x:c>
      <x:c r="Q25" t="str">
        <x:v>连续退洗线节能改造现有案例页</x:v>
      </x:c>
      <x:c r="R25" t="str">
        <x:v>待唐工复核</x:v>
      </x:c>
      <x:c r="S25" t="str">
        <x:v>通过</x:v>
      </x:c>
      <x:c r="T25" t="str">
        <x:v>通过</x:v>
      </x:c>
      <x:c r="U25" t="str">
        <x:f>IF(OR(R25="禁发",S25="禁发",T25="禁发"),"禁发",IF(AND(R25="资料确认",S25="通过",T25="通过"),"资料参数可发布",IF(AND(R25="行业推定",S25="通过",T25="通过"),"范围表达可发布",IF(AND(R25="通过",S25="通过",T25="通过"),"精确值可发布",IF(AND(S25="通过",R25="待唐工复核",T25="通过"),"公开（技术复核待完成）","待审核")))))</x:f>
        <x:v>公开（技术复核待完成）</x:v>
      </x:c>
      <x:c r="V25" t="str">
        <x:v>待安排：唐工</x:v>
      </x:c>
      <x:c r="W25" s="30"/>
      <x:c r="X25" t="str">
        <x:v>2026-07-31 原件核查：117、53.3和63.7的算术来源已找到；未检出实际单位成本验证底稿，方案也未明确含税口径、可比统计期及异常工况剔除规则。</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120万吨/年为2015年技术方案中三条线收益测算的年产量假设。</x:v>
      </x:c>
      <x:c r="J26" t="str">
        <x:v>该数用于经济性测算，当前证据不能证明其为客户实际有效产量、合格产量或经验证设计产能。</x:v>
      </x:c>
      <x:c r="K26" t="str">
        <x:v>复核方案中的测算分母；后续仍需假设形成依据、实际生产台账和对应统计周期。</x:v>
      </x:c>
      <x:c r="L26" t="str">
        <x:v>2015年技术方案按三条线年产量120万吨进行收益测算；该数为方案假设，不代表客户实际年产量或经营结果。</x:v>
      </x:c>
      <x:c r="M26" t="str">
        <x:v>不得描述为客户实际有效产量、合格产量、实际经营数据或经验证设计产能；唐工复核前不得跨页面或站外复用。</x:v>
      </x:c>
      <x:c r="N26" t="str">
        <x:v>本项目技术方案“三、项目说明—A、经济性分析”原文：“三条线按年产量120万吨计算”。该数是收益测算假设，未检出实际有效产量或合格产量台账。</x:v>
      </x:c>
      <x:c r="O26" t="str">
        <x:v>是</x:v>
      </x:c>
      <x:c r="P26" t="str">
        <x:v>否</x:v>
      </x:c>
      <x:c r="Q26" t="str">
        <x:v>连续退洗线节能改造现有案例页</x:v>
      </x:c>
      <x:c r="R26" t="str">
        <x:v>待唐工复核</x:v>
      </x:c>
      <x:c r="S26" t="str">
        <x:v>通过</x:v>
      </x:c>
      <x:c r="T26" t="str">
        <x:v>通过</x:v>
      </x:c>
      <x:c r="U26" t="str">
        <x:f>IF(OR(R26="禁发",S26="禁发",T26="禁发"),"禁发",IF(AND(R26="资料确认",S26="通过",T26="通过"),"资料参数可发布",IF(AND(R26="行业推定",S26="通过",T26="通过"),"范围表达可发布",IF(AND(R26="通过",S26="通过",T26="通过"),"精确值可发布",IF(AND(S26="通过",R26="待唐工复核",T26="通过"),"公开（技术复核待完成）","待审核")))))</x:f>
        <x:v>公开（技术复核待完成）</x:v>
      </x:c>
      <x:c r="V26" t="str">
        <x:v>待安排：唐工</x:v>
      </x:c>
      <x:c r="W26" s="30"/>
      <x:c r="X26" t="str">
        <x:v>2026-07-31 原件核查：技术方案直接写明“按年产量120万吨计算”，故可判定为三条线合计的收益测算假设；仍待唐工复核其形成依据和适用边界。</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主合同节点：2015-11-15前具备安装条件，三条线分别于2015-12-05、2016-01-05、2016-02-05前完成；实施时间由买方安排。技术方案另载50个工作日、首线15～20日及每月一线的计划口径。</x:v>
      </x:c>
      <x:c r="J27" t="str">
        <x:v>合同里程碑与技术方案计划必须分开；节点受现场条件、停产窗口、买方安排和不可抗力影响。</x:v>
      </x:c>
      <x:c r="K27" t="str">
        <x:v>核对合同交货期与技术方案工期承诺；如需证明实际完成周期，另调进场、调试、烘炉和验收记录。</x:v>
      </x:c>
      <x:c r="L27" t="str">
        <x:v>本项目合同约定分三条线实施并由买方按现场情况安排；各阶段周期以项目规模、供货边界、现场条件和停产窗口为准。</x:v>
      </x:c>
      <x:c r="M27" t="str">
        <x:v>不得把本项目合同日期或技术方案计划改写成通用固定设计、制造、安装、停产或验收周期。</x:v>
      </x:c>
      <x:c r="N27" t="str">
        <x:v>主合同第3页“四、交货期”：2015-11-15前具备安装条件，2015-12-05/2016-01-05/2016-02-05前分别完成三条线，具体实施时间由买方安排；技术方案5.1另载50个工作日、首线15～20日及每月一线的计划口径。</x:v>
      </x:c>
      <x:c r="O27" t="str">
        <x:v>是</x:v>
      </x:c>
      <x:c r="P27" t="str">
        <x:v>否</x:v>
      </x:c>
      <x:c r="Q27" t="str">
        <x:v>连续退洗线节能改造现有案例页</x:v>
      </x:c>
      <x:c r="R27" t="str">
        <x:v>资料确认</x:v>
      </x:c>
      <x:c r="S27" t="str">
        <x:v>通过</x:v>
      </x:c>
      <x:c r="T27" t="str">
        <x:v>通过</x:v>
      </x:c>
      <x:c r="U27" t="str">
        <x:f>IF(OR(R27="禁发",S27="禁发",T27="禁发"),"禁发",IF(AND(R27="资料确认",S27="通过",T27="通过"),"资料参数可发布",IF(AND(R27="行业推定",S27="通过",T27="通过"),"范围表达可发布",IF(AND(R27="通过",S27="通过",T27="通过"),"精确值可发布",IF(AND(S27="通过",R27="待唐工复核",T27="通过"),"公开（技术复核待完成）","待审核")))))</x:f>
        <x:v>资料参数可发布</x:v>
      </x:c>
      <x:c r="V27" t="str">
        <x:v>合同/技术方案资料核对</x:v>
      </x:c>
      <x:c r="W27" s="30" t="n">
        <x:v>46234</x:v>
      </x:c>
      <x:c r="X27" t="str">
        <x:v>2026-07-31 原件核查：合同第3页交货期为直接条款；技术方案5.1为计划口径。二者不得拼接。资料确认只证明约定节点，不证明实际完成日期。</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技术方案采用低NOx烧嘴并作“改造后能够满足环保要求”的方案判断；本机未检出本项目第三方检测或正式验收报告。</x:v>
      </x:c>
      <x:c r="J28" t="str">
        <x:v>二期其他生产线使用数据不能替代本项目检测结果；排放结论必须对应标准、工况、测点、检测机构和氧含量折算口径。</x:v>
      </x:c>
      <x:c r="K28" t="str">
        <x:v>调取本项目第三方检测或正式验收报告，并由唐工复核适用标准、测试条件和方案边界。</x:v>
      </x:c>
      <x:c r="L28" t="str">
        <x:v>按所在地排放要求设计，是否达标以有资质第三方检测或正式验收为准。</x:v>
      </x:c>
      <x:c r="M28" t="str">
        <x:v>在取得可核验报告前，不写“已达标”“满足国家标准”或具体排放数值；不得用二期其他生产线数据替代一期检测结果。</x:v>
      </x:c>
      <x:c r="N28" t="str">
        <x:v>本项目技术方案“三、项目说明—B、满足环保性能要求”：采用低NOx烧嘴，并引用二期4#/5#线使用数据作方案判断。本机资料未检出本项目第三方检测或正式验收报告，需向公司/客户调取。</x:v>
      </x:c>
      <x:c r="O28" t="str">
        <x:v>是</x:v>
      </x:c>
      <x:c r="P28" t="str">
        <x:v>否</x:v>
      </x:c>
      <x:c r="Q28" t="str">
        <x:v>连续退洗线节能改造现有案例页</x:v>
      </x:c>
      <x:c r="R28" t="str">
        <x:v>待唐工复核</x:v>
      </x:c>
      <x:c r="S28" t="str">
        <x:v>通过</x:v>
      </x:c>
      <x:c r="T28" t="str">
        <x:v>通过</x:v>
      </x:c>
      <x:c r="U28" t="str">
        <x:f>IF(OR(R28="禁发",S28="禁发",T28="禁发"),"禁发",IF(AND(R28="资料确认",S28="通过",T28="通过"),"资料参数可发布",IF(AND(R28="行业推定",S28="通过",T28="通过"),"范围表达可发布",IF(AND(R28="通过",S28="通过",T28="通过"),"精确值可发布",IF(AND(S28="通过",R28="待唐工复核",T28="通过"),"公开（技术复核待完成）","待审核")))))</x:f>
        <x:v>公开（技术复核待完成）</x:v>
      </x:c>
      <x:c r="V28" t="str">
        <x:v>待安排：唐工</x:v>
      </x:c>
      <x:c r="W28" s="30"/>
      <x:c r="X28" t="str">
        <x:v>2026-07-31 原件核查：仅找到技术方案中的设计/判断性表述；未检出检测机构、报告编号、检测日期、测点、工况、实测值、限值或氧含量折算口径。当前仅允许范围表达。</x:v>
      </x:c>
    </x:row>
    <x:row r="29">
      <x:c r="A29" t="str">
        <x:v>SN-GEO-P5-CD-Q01</x:v>
      </x:c>
      <x:c r="B29" t="str">
        <x:v>P0</x:v>
      </x:c>
      <x:c r="C29" t="str">
        <x:v>炉衬局部修复、扩大拆检与整体处理判断</x:v>
      </x:c>
      <x:c r="D29" t="str">
        <x:v>不涉及客户身份</x:v>
      </x:c>
      <x:c r="E29" t="str">
        <x:v>通用方法</x:v>
      </x:c>
      <x:c r="F29" t="str">
        <x:v>工业炉改造</x:v>
      </x:c>
      <x:c r="G29" t="str">
        <x:v>炉衬与保温</x:v>
      </x:c>
      <x:c r="H29" t="str">
        <x:v>技术方法</x:v>
      </x:c>
      <x:c r="I29" t="str">
        <x:v>不使用通用面积比例；以支撑体系、冷面状态、锚固连续性、失效原因和接缝条件综合判断。</x:v>
      </x:c>
      <x:c r="J29" t="str">
        <x:v>局部损坏、冷面完好、区外锚固完好、原因局部且新旧衬可可靠衔接时可考虑局部修复；炉顶下沉、冷面异常升温、贯通裂缝等应扩大拆检。</x:v>
      </x:c>
      <x:c r="K29" t="str">
        <x:v>停炉检查、开衬复核、炉衬方案核算和修复范围确认。</x:v>
      </x:c>
      <x:c r="L29" t="str">
        <x:v>炉衬是否局部修复，不能只看热面损坏面积；应同时检查冷面钢板、锚固体系、失效原因和新旧衬接缝条件。出现炉顶下沉、冷面异常升温或贯通裂缝等信号时，应扩大拆检，最终范围以停炉检查为准。</x:v>
      </x:c>
      <x:c r="M29" t="str">
        <x:v>不得把风险信号写成脱离检查条件的绝对否决项；改燃料、升温、增加装炉量时不得直接沿用旧炉衬结论。</x:v>
      </x:c>
      <x:c r="N29" t="str">
        <x:v>2020 台车炉电改燃方案第 5 页；docs/seo-geo/p5-cd-tang-confirmation-checklist.md（2026-07-31 钱波提供最终技术答复）</x:v>
      </x:c>
      <x:c r="O29" t="str">
        <x:v>否</x:v>
      </x:c>
      <x:c r="P29" t="str">
        <x:v>否</x:v>
      </x:c>
      <x:c r="Q29" t="str">
        <x:v>P5 C 页：炉衬翻新与保温</x:v>
      </x:c>
      <x:c r="R29" t="str">
        <x:v>通过</x:v>
      </x:c>
      <x:c r="S29" t="str">
        <x:v>通过</x:v>
      </x:c>
      <x:c r="T29" t="str">
        <x:v>通过</x:v>
      </x:c>
      <x:c r="U29" t="str">
        <x:f>IF(OR(R29="禁发",S29="禁发",T29="禁发"),"禁发",IF(AND(R29="资料确认",S29="通过",T29="通过"),"资料参数可发布",IF(AND(R29="行业推定",S29="通过",T29="通过"),"范围表达可发布",IF(AND(R29="通过",S29="通过",T29="通过"),"精确值可发布",IF(AND(S29="通过",R29="待唐工复核",T29="通过"),"公开（技术复核待完成）","待审核")))))</x:f>
        <x:v>精确值可发布</x:v>
      </x:c>
      <x:c r="V29" t="str">
        <x:v>唐工答复（由钱波转交；非 reviewedBy）</x:v>
      </x:c>
      <x:c r="W29" s="30" t="n">
        <x:v>46234</x:v>
      </x:c>
      <x:c r="X29" t="str">
        <x:v>Q1 已确认。可作为采购判断方法复用；具体项目范围仍需停炉检查。</x:v>
      </x:c>
    </x:row>
    <x:row r="30">
      <x:c r="A30" t="str">
        <x:v>SN-GEO-P5-CD-Q02</x:v>
      </x:c>
      <x:c r="B30" t="str">
        <x:v>P0</x:v>
      </x:c>
      <x:c r="C30" t="str">
        <x:v>1140 型纤维模块与压缩量≥40%的事实边界</x:v>
      </x:c>
      <x:c r="D30" t="str">
        <x:v>不涉及客户身份</x:v>
      </x:c>
      <x:c r="E30" t="str">
        <x:v>通用方法</x:v>
      </x:c>
      <x:c r="F30" t="str">
        <x:v>工业炉改造</x:v>
      </x:c>
      <x:c r="G30" t="str">
        <x:v>纤维炉衬</x:v>
      </x:c>
      <x:c r="H30" t="str">
        <x:v>方案参数解释</x:v>
      </x:c>
      <x:c r="I30" t="str">
        <x:v>2018 项目技术方案载明“1140 型耐火纤维模块、压缩量≥40%”；只能确认为项目方案参数。</x:v>
      </x:c>
      <x:c r="J30" t="str">
        <x:v>压缩量反映预补偿高温收缩、维持模块接缝压紧的设计意图；准确计算基准和适用性取决于材料、模块结构与安装方向。</x:v>
      </x:c>
      <x:c r="K30" t="str">
        <x:v>材料牌号核对、产品合格证核对、施工方案与安装记录确认。</x:v>
      </x:c>
      <x:c r="L30" t="str">
        <x:v>某项目技术方案采用“1140 型耐火纤维模块、压缩量≥40%”的设计参数；具体牌号含义和安装压缩要求，应结合产品合格证、材料体系与施工方案确认。</x:v>
      </x:c>
      <x:c r="M30" t="str">
        <x:v>不得推断 1140 型的分类温度；不得把≥40%写成所有炉型通用标准；不得发布无记录支撑的寿命时间结论。</x:v>
      </x:c>
      <x:c r="N30" t="str">
        <x:v>2018 两用型改造技术方案第 5 页及参数表；docs/seo-geo/p5-cd-tang-confirmation-checklist.md（2026-07-31 钱波提供最终技术答复）</x:v>
      </x:c>
      <x:c r="O30" t="str">
        <x:v>否</x:v>
      </x:c>
      <x:c r="P30" t="str">
        <x:v>否</x:v>
      </x:c>
      <x:c r="Q30" t="str">
        <x:v>P5 C 页：炉衬翻新与保温</x:v>
      </x:c>
      <x:c r="R30" t="str">
        <x:v>通过</x:v>
      </x:c>
      <x:c r="S30" t="str">
        <x:v>通过</x:v>
      </x:c>
      <x:c r="T30" t="str">
        <x:v>通过</x:v>
      </x:c>
      <x:c r="U30" t="str">
        <x:f>IF(OR(R30="禁发",S30="禁发",T30="禁发"),"禁发",IF(AND(R30="资料确认",S30="通过",T30="通过"),"资料参数可发布",IF(AND(R30="行业推定",S30="通过",T30="通过"),"范围表达可发布",IF(AND(R30="通过",S30="通过",T30="通过"),"精确值可发布",IF(AND(S30="通过",R30="待唐工复核",T30="通过"),"公开（技术复核待完成）","待审核")))))</x:f>
        <x:v>精确值可发布</x:v>
      </x:c>
      <x:c r="V30" t="str">
        <x:v>唐工答复（由钱波转交；非 reviewedBy）</x:v>
      </x:c>
      <x:c r="W30" s="30" t="n">
        <x:v>46234</x:v>
      </x:c>
      <x:c r="X30" t="str">
        <x:v>Q2 已确认。鲁阳历史产品资料、合格证和施工记录仍待调取；不影响发布当前边界表达。</x:v>
      </x:c>
    </x:row>
    <x:row r="31">
      <x:c r="A31" t="str">
        <x:v>SN-GEO-P5-CD-Q03</x:v>
      </x:c>
      <x:c r="B31" t="str">
        <x:v>P0</x:v>
      </x:c>
      <x:c r="C31" t="str">
        <x:v>烘炉制度、责任边界与交付记录</x:v>
      </x:c>
      <x:c r="D31" t="str">
        <x:v>不涉及客户身份</x:v>
      </x:c>
      <x:c r="E31" t="str">
        <x:v>通用方法</x:v>
      </x:c>
      <x:c r="F31" t="str">
        <x:v>工业炉改造</x:v>
      </x:c>
      <x:c r="G31" t="str">
        <x:v>耐材施工与烘炉</x:v>
      </x:c>
      <x:c r="H31" t="str">
        <x:v>技术方法</x:v>
      </x:c>
      <x:c r="I31" t="str">
        <x:v>不发布统一温度平台、升温速度或固定时长。</x:v>
      </x:c>
      <x:c r="J31" t="str">
        <x:v>烘炉制度由材料边界、耐材组合、施工厚度、含水情况、排湿条件、环境与炉型共同决定；不同耐材体系不可直接套用同一曲线。</x:v>
      </x:c>
      <x:c r="K31" t="str">
        <x:v>烘炉制度编制、执行记录、排湿观察和异常闭环。</x:v>
      </x:c>
      <x:c r="L31" t="str">
        <x:v>烘炉曲线应由耐材体系、施工厚度、含水情况、排湿条件和炉型共同决定；验收应看实测曲线、排汽和异常记录，不能只以“烘了多少小时”作为完成依据。</x:v>
      </x:c>
      <x:c r="M31" t="str">
        <x:v>不得发布跨材料体系的通用烘炉曲线；不得用固定小时数单独判定水分排出完成。</x:v>
      </x:c>
      <x:c r="N31" t="str">
        <x:v>本机未检出可跨项目复用的完整烘炉曲线；docs/seo-geo/p5-cd-tang-confirmation-checklist.md（2026-07-31 钱波提供最终技术答复）</x:v>
      </x:c>
      <x:c r="O31" t="str">
        <x:v>否</x:v>
      </x:c>
      <x:c r="P31" t="str">
        <x:v>否</x:v>
      </x:c>
      <x:c r="Q31" t="str">
        <x:v>P5 C 页：炉衬翻新与保温</x:v>
      </x:c>
      <x:c r="R31" t="str">
        <x:v>通过</x:v>
      </x:c>
      <x:c r="S31" t="str">
        <x:v>通过</x:v>
      </x:c>
      <x:c r="T31" t="str">
        <x:v>通过</x:v>
      </x:c>
      <x:c r="U31" t="str">
        <x:f>IF(OR(R31="禁发",S31="禁发",T31="禁发"),"禁发",IF(AND(R31="资料确认",S31="通过",T31="通过"),"资料参数可发布",IF(AND(R31="行业推定",S31="通过",T31="通过"),"范围表达可发布",IF(AND(R31="通过",S31="通过",T31="通过"),"精确值可发布",IF(AND(S31="通过",R31="待唐工复核",T31="通过"),"公开（技术复核待完成）","待审核")))))</x:f>
        <x:v>精确值可发布</x:v>
      </x:c>
      <x:c r="V31" t="str">
        <x:v>唐工答复（由钱波转交；非 reviewedBy）</x:v>
      </x:c>
      <x:c r="W31" s="30" t="n">
        <x:v>46234</x:v>
      </x:c>
      <x:c r="X31" t="str">
        <x:v>Q3 已确认。交付记录至少包含实测曲线、保温时长、排湿口状态、排汽观察、异常处理和环境温湿度。</x:v>
      </x:c>
    </x:row>
    <x:row r="32">
      <x:c r="A32" t="str">
        <x:v>SN-GEO-P5-CD-Q04</x:v>
      </x:c>
      <x:c r="B32" t="str">
        <x:v>P0</x:v>
      </x:c>
      <x:c r="C32" t="str">
        <x:v>燃气安全功能与 FAT/SAT 证据边界</x:v>
      </x:c>
      <x:c r="D32" t="str">
        <x:v>不涉及客户身份</x:v>
      </x:c>
      <x:c r="E32" t="str">
        <x:v>通用方法</x:v>
      </x:c>
      <x:c r="F32" t="str">
        <x:v>工业炉改造</x:v>
      </x:c>
      <x:c r="G32" t="str">
        <x:v>燃气燃烧与安全</x:v>
      </x:c>
      <x:c r="H32" t="str">
        <x:v>技术方法</x:v>
      </x:c>
      <x:c r="I32" t="str">
        <x:v>不设置脱离炉型、燃料、风险等级与属地规范的统一配置数量。</x:v>
      </x:c>
      <x:c r="J32" t="str">
        <x:v>安全链通常围绕吹扫、程序点火、火焰检测与失焰切断、燃气压力、助燃风、停电失效安全、紧急切断、阀组隔离和泄漏报警设计。</x:v>
      </x:c>
      <x:c r="K32" t="str">
        <x:v>FAT 控制逻辑与动作验证；SAT 现场管路、真实工况和联锁验证。</x:v>
      </x:c>
      <x:c r="L32" t="str">
        <x:v>FAT 主要证明控制逻辑和安全动作按设计工作，SAT 还要证明这台炉、这套管路和现场燃气条件下能够安全运行；FAT 不能替代 SAT。</x:v>
      </x:c>
      <x:c r="M32" t="str">
        <x:v>不得把旧技术方案未枚举的电气细节解释为未配置；不得把补充清单写成所有项目完全相同的最低配置。</x:v>
      </x:c>
      <x:c r="N32" t="str">
        <x:v>相关燃气改造技术方案文本；docs/seo-geo/p5-cd-tang-confirmation-checklist.md（2026-07-31 钱波提供最终技术答复）</x:v>
      </x:c>
      <x:c r="O32" t="str">
        <x:v>否</x:v>
      </x:c>
      <x:c r="P32" t="str">
        <x:v>否</x:v>
      </x:c>
      <x:c r="Q32" t="str">
        <x:v>P5 D 页：电改燃与余热回收</x:v>
      </x:c>
      <x:c r="R32" t="str">
        <x:v>通过</x:v>
      </x:c>
      <x:c r="S32" t="str">
        <x:v>通过</x:v>
      </x:c>
      <x:c r="T32" t="str">
        <x:v>通过</x:v>
      </x:c>
      <x:c r="U32" t="str">
        <x:f>IF(OR(R32="禁发",S32="禁发",T32="禁发"),"禁发",IF(AND(R32="资料确认",S32="通过",T32="通过"),"资料参数可发布",IF(AND(R32="行业推定",S32="通过",T32="通过"),"范围表达可发布",IF(AND(R32="通过",S32="通过",T32="通过"),"精确值可发布",IF(AND(S32="通过",R32="待唐工复核",T32="通过"),"公开（技术复核待完成）","待审核")))))</x:f>
        <x:v>精确值可发布</x:v>
      </x:c>
      <x:c r="V32" t="str">
        <x:v>唐工答复（由钱波转交；非 reviewedBy）</x:v>
      </x:c>
      <x:c r="W32" s="30" t="n">
        <x:v>46234</x:v>
      </x:c>
      <x:c r="X32" t="str">
        <x:v>Q4 已确认。标准号与版本须按具体项目和属地规范核对后再引用。</x:v>
      </x:c>
    </x:row>
    <x:row r="33">
      <x:c r="A33" t="str">
        <x:v>SN-GEO-P5-CD-Q05</x:v>
      </x:c>
      <x:c r="B33" t="str">
        <x:v>P0</x:v>
      </x:c>
      <x:c r="C33" t="str">
        <x:v>两用燃料的燃料侧隔离与切换顺序</x:v>
      </x:c>
      <x:c r="D33" t="str">
        <x:v>不涉及客户身份</x:v>
      </x:c>
      <x:c r="E33" t="str">
        <x:v>通用方法</x:v>
      </x:c>
      <x:c r="F33" t="str">
        <x:v>工业炉改造</x:v>
      </x:c>
      <x:c r="G33" t="str">
        <x:v>两用燃料系统</x:v>
      </x:c>
      <x:c r="H33" t="str">
        <x:v>技术方法</x:v>
      </x:c>
      <x:c r="I33" t="str">
        <x:v>2018 方案只确认助燃空气支路换向；不能由断风推导燃料侧已隔离。</x:v>
      </x:c>
      <x:c r="J33" t="str">
        <x:v>切换应围绕当前燃料停火、燃料侧切断及阀位反馈、炉膛吹扫、系统切换、目标燃料条件确认和完整重新点火组织。</x:v>
      </x:c>
      <x:c r="K33" t="str">
        <x:v>燃料管路、电气图、PLC 点表、模式互锁和现场验证。</x:v>
      </x:c>
      <x:c r="L33" t="str">
        <x:v>两用燃料切换的核心是燃料侧切断、实际阀位反馈、模式互锁和吹扫完成共同构成点火许可；空气侧断风不能替代燃料侧安全隔离。</x:v>
      </x:c>
      <x:c r="M33" t="str">
        <x:v>不得写成 2018 项目已经安装或验收了燃料侧隔离；不得由关闭燃油烧嘴供风推断两种燃料不可能同时供入。</x:v>
      </x:c>
      <x:c r="N33" t="str">
        <x:v>2018 两用型改造技术方案；docs/seo-geo/p5-cd-tang-confirmation-checklist.md（2026-07-31 钱波提供最终技术答复）</x:v>
      </x:c>
      <x:c r="O33" t="str">
        <x:v>否</x:v>
      </x:c>
      <x:c r="P33" t="str">
        <x:v>否</x:v>
      </x:c>
      <x:c r="Q33" t="str">
        <x:v>P5 D 页：电改燃与余热回收</x:v>
      </x:c>
      <x:c r="R33" t="str">
        <x:v>通过</x:v>
      </x:c>
      <x:c r="S33" t="str">
        <x:v>通过</x:v>
      </x:c>
      <x:c r="T33" t="str">
        <x:v>通过</x:v>
      </x:c>
      <x:c r="U33" t="str">
        <x:f>IF(OR(R33="禁发",S33="禁发",T33="禁发"),"禁发",IF(AND(R33="资料确认",S33="通过",T33="通过"),"资料参数可发布",IF(AND(R33="行业推定",S33="通过",T33="通过"),"范围表达可发布",IF(AND(R33="通过",S33="通过",T33="通过"),"精确值可发布",IF(AND(S33="通过",R33="待唐工复核",T33="通过"),"公开（技术复核待完成）","待审核")))))</x:f>
        <x:v>精确值可发布</x:v>
      </x:c>
      <x:c r="V33" t="str">
        <x:v>唐工答复（由钱波转交；非 reviewedBy）</x:v>
      </x:c>
      <x:c r="W33" s="30" t="n">
        <x:v>46234</x:v>
      </x:c>
      <x:c r="X33" t="str">
        <x:v>Q5 已确认。具体项目实际配置仍需电气图、燃油管路图、PLC 点表或竣工资料。</x:v>
      </x:c>
    </x:row>
    <x:row r="34">
      <x:c r="A34" t="str">
        <x:v>SN-GEO-P5-CD-Q06</x:v>
      </x:c>
      <x:c r="B34" t="str">
        <x:v>P0</x:v>
      </x:c>
      <x:c r="C34" t="str">
        <x:v>炉体外表面温升指标转化为验收条件</x:v>
      </x:c>
      <x:c r="D34" t="str">
        <x:v>不涉及客户身份</x:v>
      </x:c>
      <x:c r="E34" t="str">
        <x:v>通用方法</x:v>
      </x:c>
      <x:c r="F34" t="str">
        <x:v>工业炉改造</x:v>
      </x:c>
      <x:c r="G34" t="str">
        <x:v>炉衬与保温验收</x:v>
      </x:c>
      <x:c r="H34" t="str">
        <x:v>设计指标与验收方法</x:v>
      </x:c>
      <x:c r="I34" t="str">
        <x:v>2018 项目技术方案设计边界：使用温度 800℃、达到稳定态、热桥除外时，炉体外表面温升不超过 40 K。</x:v>
      </x:c>
      <x:c r="J34" t="str">
        <x:v>若转成验收条件，必须约定测点、热桥排除、稳定态判定、环境温度取值、测量仪器及红外发射率。</x:v>
      </x:c>
      <x:c r="K34" t="str">
        <x:v>技术协议测量规则、现场测温记录和验收资料核对。</x:v>
      </x:c>
      <x:c r="L34" t="str">
        <x:v>某项目技术方案采用“炉子使用温度 800℃、达到稳定态、热桥除外时，炉体外表面温升不超过 40 K”的设计指标；如用于验收，还需在技术协议中明确测点、稳定态、环境温度、仪器与热桥排除规则。</x:v>
      </x:c>
      <x:c r="M34" t="str">
        <x:v>不得外推成所有炉型通用承诺；无现场记录时不得写成客户验收结果或实测值。</x:v>
      </x:c>
      <x:c r="N34" t="str">
        <x:v>2018 两用型改造技术方案技术参数表第 17 项；docs/seo-geo/p5-cd-tang-confirmation-checklist.md（2026-07-31 钱波提供最终技术答复）</x:v>
      </x:c>
      <x:c r="O34" t="str">
        <x:v>否</x:v>
      </x:c>
      <x:c r="P34" t="str">
        <x:v>否</x:v>
      </x:c>
      <x:c r="Q34" t="str">
        <x:v>P5 C 页：炉衬翻新与保温</x:v>
      </x:c>
      <x:c r="R34" t="str">
        <x:v>通过</x:v>
      </x:c>
      <x:c r="S34" t="str">
        <x:v>通过</x:v>
      </x:c>
      <x:c r="T34" t="str">
        <x:v>通过</x:v>
      </x:c>
      <x:c r="U34" t="str">
        <x:f>IF(OR(R34="禁发",S34="禁发",T34="禁发"),"禁发",IF(AND(R34="资料确认",S34="通过",T34="通过"),"资料参数可发布",IF(AND(R34="行业推定",S34="通过",T34="通过"),"范围表达可发布",IF(AND(R34="通过",S34="通过",T34="通过"),"精确值可发布",IF(AND(S34="通过",R34="待唐工复核",T34="通过"),"公开（技术复核待完成）","待审核")))))</x:f>
        <x:v>精确值可发布</x:v>
      </x:c>
      <x:c r="V34" t="str">
        <x:v>唐工答复（由钱波转交；非 reviewedBy）</x:v>
      </x:c>
      <x:c r="W34" s="30" t="n">
        <x:v>46234</x:v>
      </x:c>
      <x:c r="X34" t="str">
        <x:v>Q6 已确认。当前发布的是项目设计指标与验收方法，不是现场实测结果。</x:v>
      </x:c>
    </x:row>
  </x:sheetData>
  <x:mergeCells>
    <x:mergeCell ref="A1:H2"/>
  </x:mergeCells>
  <x:conditionalFormatting sqref="U5:U22">
    <x:cfRule type="containsText" dxfId="3" priority="1" operator="containsText" text="待审核"/>
  </x:conditionalFormatting>
  <x:dataValidations count="7">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 type="list" sqref="R5:T28">
      <x:formula1>"待确认,通过,范围表达,禁发,待唐工复核"</x:formula1>
    </x:dataValidation>
    <x:dataValidation type="list" sqref="R5:R28">
      <x:formula1>"资料确认,行业推定,待唐工复核,待确认,通过,禁发"</x:formula1>
    </x:dataValidation>
    <x:dataValidation type="list" sqref="S5:T28">
      <x:formula1>"待确认,通过,范围表达,禁发"</x:formula1>
    </x:dataValidation>
  </x:dataValidations>
  <x:pageMargins left="0.7" right="0.7" top="0.75" bottom="0.75" header="0.3" footer="0.3"/>
  <x:tableParts count="1">
    <x:tablePart xmlns:r="http://schemas.openxmlformats.org/officeDocument/2006/relationships" r:id="Rc10019519edc48b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唐工</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row r="19">
      <x:c r="A19" t="str">
        <x:v>技术状态</x:v>
      </x:c>
      <x:c r="B19" t="str">
        <x:v>待唐工复核</x:v>
      </x:c>
      <x:c r="C19" t="str">
        <x:v>只完成行业常识初筛，尚未取得唐工本人技术复核记录</x:v>
      </x:c>
      <x:c r="D19"/>
      <x:c r="E19" t="str">
        <x:v>录音转写</x:v>
      </x:c>
      <x:c r="F19" t="str">
        <x:v>经唐工知情同意后录音；本人只回答和确认，整理工作后置</x:v>
      </x:c>
    </x:row>
    <x:row r="20">
      <x:c r="A20" t="str">
        <x:v>授权状态</x:v>
      </x:c>
      <x:c r="B20" t="str">
        <x:v>通过</x:v>
      </x:c>
      <x:c r="C20" t="str">
        <x:v>2026-07-29 钱波明确确认：当前台账内容均已授权</x:v>
      </x:c>
      <x:c r="D20"/>
      <x:c r="E20" t="str">
        <x:v>访谈顺序</x:v>
      </x:c>
      <x:c r="F20" t="str">
        <x:v>先复核 6 条已发布口径，再问费用、验收、风险等非品牌词缺口</x:v>
      </x:c>
    </x:row>
    <x:row r="21">
      <x:c r="A21" t="str">
        <x:v>发布状态</x:v>
      </x:c>
      <x:c r="B21" t="str">
        <x:v>公开（技术复核待完成）</x:v>
      </x:c>
      <x:c r="C21" t="str">
        <x:v>现有页面可保留；唐工技术复核完成前，不新增未经复核的精确值、跨页复用或站外分发</x:v>
      </x:c>
      <x:c r="D21"/>
      <x:c r="E21" t="str">
        <x:v>P5</x:v>
      </x:c>
      <x:c r="F21" t="str">
        <x:v>暂缓；正式桌面端和移动端 UI 设计通过后才能施工</x:v>
      </x:c>
    </x:row>
    <x:row r="22">
      <x:c r="A22" t="str">
        <x:v>索引批次</x:v>
      </x:c>
      <x:c r="B22" t="str">
        <x:v>青山暂缓</x:v>
      </x:c>
      <x:c r="C22" t="str">
        <x:v>其余更新页先提交；青山案例在 6 条口径补齐并复核后单独提交</x:v>
      </x:c>
      <x:c r="D22"/>
      <x:c r="E22" t="str">
        <x:v>索引验收</x:v>
      </x:c>
      <x:c r="F22" t="str">
        <x:v>提交成功只代表收到；继续用 nginx 日志检查实际抓取</x:v>
      </x:c>
    </x:row>
    <x:row r="23" ht="34" customHeight="1">
      <x:c r="A23" t="str">
        <x:v>技术状态</x:v>
      </x:c>
      <x:c r="B23" t="str">
        <x:v>资料确认</x:v>
      </x:c>
      <x:c r="C23" t="str">
        <x:v>现有方案、报价、合同台账或证书有明确依据；可按项目级设计参数发布</x:v>
      </x:c>
    </x:row>
    <x:row r="24" ht="34" customHeight="1">
      <x:c r="A24" t="str">
        <x:v>技术状态</x:v>
      </x:c>
      <x:c r="B24" t="str">
        <x:v>行业推定</x:v>
      </x:c>
      <x:c r="C24" t="str">
        <x:v>由炉型、功率、尺寸、速度或工艺推算；只能写典型工况、设计目标或通常配置</x:v>
      </x:c>
    </x:row>
    <x:row r="25" ht="34" customHeight="1">
      <x:c r="A25" t="str">
        <x:v>发布状态</x:v>
      </x:c>
      <x:c r="B25" t="str">
        <x:v>资料参数可发布</x:v>
      </x:c>
      <x:c r="C25" t="str">
        <x:v>资料来源明确且公司、客户范围允许；仍须保留项目条件，不代表验收实绩</x:v>
      </x:c>
    </x:row>
    <x:row r="26" ht="34" customHeight="1">
      <x:c r="A26" t="str">
        <x:v>发布状态</x:v>
      </x:c>
      <x:c r="B26" t="str">
        <x:v>范围表达可发布</x:v>
      </x:c>
      <x:c r="C26" t="str">
        <x:v>只能使用典型、通常、设计目标等范围措辞，不发布为项目实测结果</x:v>
      </x:c>
    </x:row>
    <x:row r="27" ht="34" customHeight="1">
      <x:c r="A27" t="str">
        <x:v>禁止口径</x:v>
      </x:c>
      <x:c r="B27" t="str">
        <x:v>禁止写成实绩</x:v>
      </x:c>
      <x:c r="C27" t="str">
        <x:v>缺验收、检测或个人授权时，不写实测、实际产量、已验收、正式职称或 reviewedBy</x:v>
      </x:c>
    </x:row>
  </x:sheetData>
  <x:mergeCells>
    <x:mergeCell ref="A1: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3" hidden="0" customWidth="1"/>
    <x:col min="2" max="2" width="10" hidden="0" customWidth="1"/>
    <x:col min="3" max="3" width="38" hidden="0" customWidth="1"/>
    <x:col min="4" max="4" width="12" hidden="0" customWidth="1"/>
    <x:col min="5" max="5" width="14" hidden="0" customWidth="1"/>
    <x:col min="6" max="6" width="13" hidden="0" customWidth="1"/>
    <x:col min="7" max="7" width="17" hidden="0" customWidth="1"/>
    <x:col min="8" max="8" width="12" hidden="0" customWidth="1"/>
    <x:col min="9" max="9" width="12" hidden="0" customWidth="1"/>
    <x:col min="10" max="10" width="12" hidden="0" customWidth="1"/>
    <x:col min="11" max="11" width="12" hidden="0" customWidth="1"/>
    <x:col min="12" max="12" width="36" hidden="0" customWidth="1"/>
    <x:col min="13" max="13" width="36" hidden="0" customWidth="1"/>
    <x:col min="14" max="14" width="36" hidden="0" customWidth="1"/>
    <x:col min="15" max="15" width="36" hidden="0" customWidth="1"/>
    <x:col min="16" max="16" width="36" hidden="0" customWidth="1"/>
    <x:col min="17" max="17" width="36" hidden="0" customWidth="1"/>
    <x:col min="18" max="18" width="36" hidden="0" customWidth="1"/>
    <x:col min="19" max="19" width="36" hidden="0" customWidth="1"/>
    <x:col min="20" max="20" width="36" hidden="0" customWidth="1"/>
    <x:col min="21" max="21" width="36" hidden="0" customWidth="1"/>
    <x:col min="22" max="22" width="36" hidden="0" customWidth="1"/>
    <x:col min="23" max="23" width="36" hidden="0" customWidth="1"/>
    <x:col min="24" max="24" width="36" hidden="0" customWidth="1"/>
    <x:col min="25" max="25" width="32" hidden="0" customWidth="1"/>
    <x:col min="26" max="26" width="42" hidden="0" customWidth="1"/>
  </x:cols>
  <x:sheetData>
    <x:row r="1" ht="30" customHeight="1">
      <x:c r="A1" s="34" t="str">
        <x:v>苏能官网 GEO｜R2 双周哨兵归档（2026-08-11）
固定口径：12 个问题 × 豆包 / DeepSeek / 元宝 = 36 条回答；本轮提前于原计划 2026-08-12 完成。</x:v>
      </x:c>
      <x:c r="B1" s="34"/>
      <x:c r="C1" s="34"/>
      <x:c r="D1" s="34"/>
      <x:c r="E1" s="34"/>
      <x:c r="F1" s="34"/>
      <x:c r="G1" s="34"/>
      <x:c r="H1" s="34"/>
      <x:c r="I1" s="34"/>
      <x:c r="J1" s="34"/>
      <x:c r="K1" s="34"/>
      <x:c r="L1" s="34"/>
      <x:c r="M1" s="34"/>
      <x:c r="N1" s="34"/>
      <x:c r="O1" s="34"/>
      <x:c r="P1" s="34"/>
      <x:c r="Q1" s="34"/>
      <x:c r="R1" s="34"/>
      <x:c r="S1" s="34"/>
      <x:c r="T1" s="34"/>
      <x:c r="U1" s="34"/>
      <x:c r="V1" s="34"/>
      <x:c r="W1" s="34"/>
      <x:c r="X1" s="34"/>
      <x:c r="Y1" s="34"/>
      <x:c r="Z1" s="34"/>
    </x:row>
    <x:row r="2" ht="30" customHeight="1">
      <x:c r="A2" s="34"/>
      <x:c r="B2" s="34"/>
      <x:c r="C2" s="34"/>
      <x:c r="D2" s="34"/>
      <x:c r="E2" s="34"/>
      <x:c r="F2" s="34"/>
      <x:c r="G2" s="34"/>
      <x:c r="H2" s="34"/>
      <x:c r="I2" s="34"/>
      <x:c r="J2" s="34"/>
      <x:c r="K2" s="34"/>
      <x:c r="L2" s="34"/>
      <x:c r="M2" s="34"/>
      <x:c r="N2" s="34"/>
      <x:c r="O2" s="34"/>
      <x:c r="P2" s="34"/>
      <x:c r="Q2" s="34"/>
      <x:c r="R2" s="34"/>
      <x:c r="S2" s="34"/>
      <x:c r="T2" s="34"/>
      <x:c r="U2" s="34"/>
      <x:c r="V2" s="34"/>
      <x:c r="W2" s="34"/>
      <x:c r="X2" s="34"/>
      <x:c r="Y2" s="34"/>
      <x:c r="Z2" s="34"/>
    </x:row>
    <x:row r="4" ht="24" customHeight="1">
      <x:c r="A4" s="60" t="str">
        <x:v>固定分母</x:v>
      </x:c>
      <x:c r="B4" s="44" t="n">
        <x:f>COUNTA($A$14:$A$49)</x:f>
        <x:v>36</x:v>
      </x:c>
      <x:c r="C4" s="60" t="str">
        <x:v>记录为苏能出现</x:v>
      </x:c>
      <x:c r="D4" s="38" t="n">
        <x:f>COUNTIF($E$14:$E$49,"有")</x:f>
        <x:v>2</x:v>
      </x:c>
      <x:c r="E4" s="60" t="str">
        <x:v>官网引用答案</x:v>
      </x:c>
      <x:c r="F4" s="38" t="n">
        <x:f>COUNTIF($F$14:$F$49,"是")</x:f>
        <x:v>3</x:v>
      </x:c>
      <x:c r="G4" s="60" t="str">
        <x:v>官网链接位</x:v>
      </x:c>
      <x:c r="H4" s="38" t="n">
        <x:f>SUM($G$14:$G$49)</x:f>
        <x:v>7</x:v>
      </x:c>
    </x:row>
    <x:row r="5" ht="24" customHeight="1">
      <x:c r="A5" s="60" t="str">
        <x:v>记录提及率</x:v>
      </x:c>
      <x:c r="B5" s="39" t="n">
        <x:f>D4/B4</x:f>
        <x:v>0.05555555555555555</x:v>
      </x:c>
      <x:c r="C5" s="60" t="str">
        <x:v>官网引用率</x:v>
      </x:c>
      <x:c r="D5" s="39" t="n">
        <x:f>F4/B4</x:f>
        <x:v>0.08333333333333333</x:v>
      </x:c>
      <x:c r="E5" s="60" t="str">
        <x:v>无网址记录</x:v>
      </x:c>
      <x:c r="F5" s="38" t="n">
        <x:f>COUNTIF($H$14:$H$49,0)</x:f>
        <x:v>10</x:v>
      </x:c>
      <x:c r="G5" s="60" t="str">
        <x:v>证据状态</x:v>
      </x:c>
      <x:c r="H5" s="38" t="str">
        <x:v>思考模式未记录；缺完整回答/截图</x:v>
      </x:c>
    </x:row>
    <x:row r="6" ht="24" customHeight="1"/>
    <x:row r="7" ht="24" customHeight="1">
      <x:c r="A7" s="87" t="str">
        <x:v>平台</x:v>
      </x:c>
      <x:c r="B7" s="87" t="str">
        <x:v>回答数</x:v>
      </x:c>
      <x:c r="C7" s="87" t="str">
        <x:v>记录为苏能出现</x:v>
      </x:c>
      <x:c r="D7" s="87" t="str">
        <x:v>官网引用答案</x:v>
      </x:c>
      <x:c r="E7" s="87" t="str">
        <x:v>官网链接位</x:v>
      </x:c>
      <x:c r="F7" s="87" t="str">
        <x:v>无网址记录</x:v>
      </x:c>
      <x:c r="G7" s="87" t="str">
        <x:v>平台提及变化</x:v>
      </x:c>
      <x:c r="H7" s="87" t="str">
        <x:v>R1</x:v>
      </x:c>
      <x:c r="I7" s="87" t="str">
        <x:v>R2</x:v>
      </x:c>
      <x:c r="J7" s="87" t="str">
        <x:v>变化</x:v>
      </x:c>
      <x:c r="K7" s="87" t="str">
        <x:v>R2无网址</x:v>
      </x:c>
    </x:row>
    <x:row r="8" ht="24" customHeight="1">
      <x:c r="A8" s="36" t="str">
        <x:v>豆包</x:v>
      </x:c>
      <x:c r="B8" s="36" t="n">
        <x:f>COUNTIF($D$14:$D$49,A8)</x:f>
        <x:v>12</x:v>
      </x:c>
      <x:c r="C8" s="36" t="n">
        <x:f>COUNTIFS($D$14:$D$49,A8,$E$14:$E$49,"有")</x:f>
        <x:v>0</x:v>
      </x:c>
      <x:c r="D8" s="36" t="n">
        <x:f>COUNTIFS($D$14:$D$49,A8,$F$14:$F$49,"是")</x:f>
        <x:v>0</x:v>
      </x:c>
      <x:c r="E8" s="36" t="n">
        <x:f>SUMIF($D$14:$D$49,A8,$G$14:$G$49)</x:f>
        <x:v>0</x:v>
      </x:c>
      <x:c r="F8" s="36" t="n">
        <x:f>COUNTIFS($D$14:$D$49,A8,$H$14:$H$49,0)</x:f>
        <x:v>7</x:v>
      </x:c>
      <x:c r="G8" s="36" t="str">
        <x:v>豆包</x:v>
      </x:c>
      <x:c r="H8" s="36" t="n">
        <x:f>COUNTIFS('复测明细'!$A$5:$A$314,"R1",'复测明细'!$G$5:$G$314,G8,'复测明细'!$H$5:$H$314,"是",'复测明细'!$C$5:$C$314,2)+COUNTIFS('复测明细'!$A$5:$A$314,"R1",'复测明细'!$G$5:$G$314,G8,'复测明细'!$H$5:$H$314,"是",'复测明细'!$C$5:$C$314,3)+COUNTIFS('复测明细'!$A$5:$A$314,"R1",'复测明细'!$G$5:$G$314,G8,'复测明细'!$H$5:$H$314,"是",'复测明细'!$C$5:$C$314,7)+COUNTIFS('复测明细'!$A$5:$A$314,"R1",'复测明细'!$G$5:$G$314,G8,'复测明细'!$H$5:$H$314,"是",'复测明细'!$C$5:$C$314,8)+COUNTIFS('复测明细'!$A$5:$A$314,"R1",'复测明细'!$G$5:$G$314,G8,'复测明细'!$H$5:$H$314,"是",'复测明细'!$C$5:$C$314,9)+COUNTIFS('复测明细'!$A$5:$A$314,"R1",'复测明细'!$G$5:$G$314,G8,'复测明细'!$H$5:$H$314,"是",'复测明细'!$C$5:$C$314,10)+COUNTIFS('复测明细'!$A$5:$A$314,"R1",'复测明细'!$G$5:$G$314,G8,'复测明细'!$H$5:$H$314,"是",'复测明细'!$C$5:$C$314,11)+COUNTIFS('复测明细'!$A$5:$A$314,"R1",'复测明细'!$G$5:$G$314,G8,'复测明细'!$H$5:$H$314,"是",'复测明细'!$C$5:$C$314,26)+COUNTIFS('复测明细'!$A$5:$A$314,"R1",'复测明细'!$G$5:$G$314,G8,'复测明细'!$H$5:$H$314,"是",'复测明细'!$C$5:$C$314,28)+COUNTIFS('复测明细'!$A$5:$A$314,"R1",'复测明细'!$G$5:$G$314,G8,'复测明细'!$H$5:$H$314,"是",'复测明细'!$C$5:$C$314,36)+COUNTIFS('复测明细'!$A$5:$A$314,"R1",'复测明细'!$G$5:$G$314,G8,'复测明细'!$H$5:$H$314,"是",'复测明细'!$C$5:$C$314,41)+COUNTIFS('复测明细'!$A$5:$A$314,"R1",'复测明细'!$G$5:$G$314,G8,'复测明细'!$H$5:$H$314,"是",'复测明细'!$C$5:$C$314,42)</x:f>
        <x:v>1</x:v>
      </x:c>
      <x:c r="I8" s="36" t="n">
        <x:f>COUNTIFS('复测明细'!$A$5:$A$314,"R2",'复测明细'!$G$5:$G$314,G8,'复测明细'!$H$5:$H$314,"是",'复测明细'!$C$5:$C$314,2)+COUNTIFS('复测明细'!$A$5:$A$314,"R2",'复测明细'!$G$5:$G$314,G8,'复测明细'!$H$5:$H$314,"是",'复测明细'!$C$5:$C$314,3)+COUNTIFS('复测明细'!$A$5:$A$314,"R2",'复测明细'!$G$5:$G$314,G8,'复测明细'!$H$5:$H$314,"是",'复测明细'!$C$5:$C$314,7)+COUNTIFS('复测明细'!$A$5:$A$314,"R2",'复测明细'!$G$5:$G$314,G8,'复测明细'!$H$5:$H$314,"是",'复测明细'!$C$5:$C$314,8)+COUNTIFS('复测明细'!$A$5:$A$314,"R2",'复测明细'!$G$5:$G$314,G8,'复测明细'!$H$5:$H$314,"是",'复测明细'!$C$5:$C$314,9)+COUNTIFS('复测明细'!$A$5:$A$314,"R2",'复测明细'!$G$5:$G$314,G8,'复测明细'!$H$5:$H$314,"是",'复测明细'!$C$5:$C$314,10)+COUNTIFS('复测明细'!$A$5:$A$314,"R2",'复测明细'!$G$5:$G$314,G8,'复测明细'!$H$5:$H$314,"是",'复测明细'!$C$5:$C$314,11)+COUNTIFS('复测明细'!$A$5:$A$314,"R2",'复测明细'!$G$5:$G$314,G8,'复测明细'!$H$5:$H$314,"是",'复测明细'!$C$5:$C$314,26)+COUNTIFS('复测明细'!$A$5:$A$314,"R2",'复测明细'!$G$5:$G$314,G8,'复测明细'!$H$5:$H$314,"是",'复测明细'!$C$5:$C$314,28)+COUNTIFS('复测明细'!$A$5:$A$314,"R2",'复测明细'!$G$5:$G$314,G8,'复测明细'!$H$5:$H$314,"是",'复测明细'!$C$5:$C$314,36)+COUNTIFS('复测明细'!$A$5:$A$314,"R2",'复测明细'!$G$5:$G$314,G8,'复测明细'!$H$5:$H$314,"是",'复测明细'!$C$5:$C$314,41)+COUNTIFS('复测明细'!$A$5:$A$314,"R2",'复测明细'!$G$5:$G$314,G8,'复测明细'!$H$5:$H$314,"是",'复测明细'!$C$5:$C$314,42)</x:f>
        <x:v>0</x:v>
      </x:c>
      <x:c r="J8" s="36" t="n">
        <x:f>I8-H8</x:f>
        <x:v>-1</x:v>
      </x:c>
      <x:c r="K8" s="36" t="n">
        <x:f>COUNTIFS($D$14:$D$49,G8,$H$14:$H$49,0)</x:f>
        <x:v>7</x:v>
      </x:c>
    </x:row>
    <x:row r="9" ht="24" customHeight="1">
      <x:c r="A9" s="36" t="str">
        <x:v>DeepSeek</x:v>
      </x:c>
      <x:c r="B9" s="36" t="n">
        <x:f>COUNTIF($D$14:$D$49,A9)</x:f>
        <x:v>12</x:v>
      </x:c>
      <x:c r="C9" s="36" t="n">
        <x:f>COUNTIFS($D$14:$D$49,A9,$E$14:$E$49,"有")</x:f>
        <x:v>0</x:v>
      </x:c>
      <x:c r="D9" s="36" t="n">
        <x:f>COUNTIFS($D$14:$D$49,A9,$F$14:$F$49,"是")</x:f>
        <x:v>0</x:v>
      </x:c>
      <x:c r="E9" s="36" t="n">
        <x:f>SUMIF($D$14:$D$49,A9,$G$14:$G$49)</x:f>
        <x:v>0</x:v>
      </x:c>
      <x:c r="F9" s="36" t="n">
        <x:f>COUNTIFS($D$14:$D$49,A9,$H$14:$H$49,0)</x:f>
        <x:v>0</x:v>
      </x:c>
      <x:c r="G9" s="36" t="str">
        <x:v>DeepSeek</x:v>
      </x:c>
      <x:c r="H9" s="36" t="n">
        <x:f>COUNTIFS('复测明细'!$A$5:$A$314,"R1",'复测明细'!$G$5:$G$314,G9,'复测明细'!$H$5:$H$314,"是",'复测明细'!$C$5:$C$314,2)+COUNTIFS('复测明细'!$A$5:$A$314,"R1",'复测明细'!$G$5:$G$314,G9,'复测明细'!$H$5:$H$314,"是",'复测明细'!$C$5:$C$314,3)+COUNTIFS('复测明细'!$A$5:$A$314,"R1",'复测明细'!$G$5:$G$314,G9,'复测明细'!$H$5:$H$314,"是",'复测明细'!$C$5:$C$314,7)+COUNTIFS('复测明细'!$A$5:$A$314,"R1",'复测明细'!$G$5:$G$314,G9,'复测明细'!$H$5:$H$314,"是",'复测明细'!$C$5:$C$314,8)+COUNTIFS('复测明细'!$A$5:$A$314,"R1",'复测明细'!$G$5:$G$314,G9,'复测明细'!$H$5:$H$314,"是",'复测明细'!$C$5:$C$314,9)+COUNTIFS('复测明细'!$A$5:$A$314,"R1",'复测明细'!$G$5:$G$314,G9,'复测明细'!$H$5:$H$314,"是",'复测明细'!$C$5:$C$314,10)+COUNTIFS('复测明细'!$A$5:$A$314,"R1",'复测明细'!$G$5:$G$314,G9,'复测明细'!$H$5:$H$314,"是",'复测明细'!$C$5:$C$314,11)+COUNTIFS('复测明细'!$A$5:$A$314,"R1",'复测明细'!$G$5:$G$314,G9,'复测明细'!$H$5:$H$314,"是",'复测明细'!$C$5:$C$314,26)+COUNTIFS('复测明细'!$A$5:$A$314,"R1",'复测明细'!$G$5:$G$314,G9,'复测明细'!$H$5:$H$314,"是",'复测明细'!$C$5:$C$314,28)+COUNTIFS('复测明细'!$A$5:$A$314,"R1",'复测明细'!$G$5:$G$314,G9,'复测明细'!$H$5:$H$314,"是",'复测明细'!$C$5:$C$314,36)+COUNTIFS('复测明细'!$A$5:$A$314,"R1",'复测明细'!$G$5:$G$314,G9,'复测明细'!$H$5:$H$314,"是",'复测明细'!$C$5:$C$314,41)+COUNTIFS('复测明细'!$A$5:$A$314,"R1",'复测明细'!$G$5:$G$314,G9,'复测明细'!$H$5:$H$314,"是",'复测明细'!$C$5:$C$314,42)</x:f>
        <x:v>0</x:v>
      </x:c>
      <x:c r="I9" s="36" t="n">
        <x:f>COUNTIFS('复测明细'!$A$5:$A$314,"R2",'复测明细'!$G$5:$G$314,G9,'复测明细'!$H$5:$H$314,"是",'复测明细'!$C$5:$C$314,2)+COUNTIFS('复测明细'!$A$5:$A$314,"R2",'复测明细'!$G$5:$G$314,G9,'复测明细'!$H$5:$H$314,"是",'复测明细'!$C$5:$C$314,3)+COUNTIFS('复测明细'!$A$5:$A$314,"R2",'复测明细'!$G$5:$G$314,G9,'复测明细'!$H$5:$H$314,"是",'复测明细'!$C$5:$C$314,7)+COUNTIFS('复测明细'!$A$5:$A$314,"R2",'复测明细'!$G$5:$G$314,G9,'复测明细'!$H$5:$H$314,"是",'复测明细'!$C$5:$C$314,8)+COUNTIFS('复测明细'!$A$5:$A$314,"R2",'复测明细'!$G$5:$G$314,G9,'复测明细'!$H$5:$H$314,"是",'复测明细'!$C$5:$C$314,9)+COUNTIFS('复测明细'!$A$5:$A$314,"R2",'复测明细'!$G$5:$G$314,G9,'复测明细'!$H$5:$H$314,"是",'复测明细'!$C$5:$C$314,10)+COUNTIFS('复测明细'!$A$5:$A$314,"R2",'复测明细'!$G$5:$G$314,G9,'复测明细'!$H$5:$H$314,"是",'复测明细'!$C$5:$C$314,11)+COUNTIFS('复测明细'!$A$5:$A$314,"R2",'复测明细'!$G$5:$G$314,G9,'复测明细'!$H$5:$H$314,"是",'复测明细'!$C$5:$C$314,26)+COUNTIFS('复测明细'!$A$5:$A$314,"R2",'复测明细'!$G$5:$G$314,G9,'复测明细'!$H$5:$H$314,"是",'复测明细'!$C$5:$C$314,28)+COUNTIFS('复测明细'!$A$5:$A$314,"R2",'复测明细'!$G$5:$G$314,G9,'复测明细'!$H$5:$H$314,"是",'复测明细'!$C$5:$C$314,36)+COUNTIFS('复测明细'!$A$5:$A$314,"R2",'复测明细'!$G$5:$G$314,G9,'复测明细'!$H$5:$H$314,"是",'复测明细'!$C$5:$C$314,41)+COUNTIFS('复测明细'!$A$5:$A$314,"R2",'复测明细'!$G$5:$G$314,G9,'复测明细'!$H$5:$H$314,"是",'复测明细'!$C$5:$C$314,42)</x:f>
        <x:v>0</x:v>
      </x:c>
      <x:c r="J9" s="36" t="n">
        <x:f>I9-H9</x:f>
        <x:v>0</x:v>
      </x:c>
      <x:c r="K9" s="36" t="n">
        <x:f>COUNTIFS($D$14:$D$49,G9,$H$14:$H$49,0)</x:f>
        <x:v>0</x:v>
      </x:c>
    </x:row>
    <x:row r="10" ht="24" customHeight="1">
      <x:c r="A10" s="36" t="str">
        <x:v>元宝</x:v>
      </x:c>
      <x:c r="B10" s="36" t="n">
        <x:f>COUNTIF($D$14:$D$49,A10)</x:f>
        <x:v>12</x:v>
      </x:c>
      <x:c r="C10" s="36" t="n">
        <x:f>COUNTIFS($D$14:$D$49,A10,$E$14:$E$49,"有")</x:f>
        <x:v>2</x:v>
      </x:c>
      <x:c r="D10" s="36" t="n">
        <x:f>COUNTIFS($D$14:$D$49,A10,$F$14:$F$49,"是")</x:f>
        <x:v>3</x:v>
      </x:c>
      <x:c r="E10" s="36" t="n">
        <x:f>SUMIF($D$14:$D$49,A10,$G$14:$G$49)</x:f>
        <x:v>7</x:v>
      </x:c>
      <x:c r="F10" s="36" t="n">
        <x:f>COUNTIFS($D$14:$D$49,A10,$H$14:$H$49,0)</x:f>
        <x:v>3</x:v>
      </x:c>
      <x:c r="G10" s="36" t="str">
        <x:v>元宝</x:v>
      </x:c>
      <x:c r="H10" s="36" t="n">
        <x:f>COUNTIFS('复测明细'!$A$5:$A$314,"R1",'复测明细'!$G$5:$G$314,G10,'复测明细'!$H$5:$H$314,"是",'复测明细'!$C$5:$C$314,2)+COUNTIFS('复测明细'!$A$5:$A$314,"R1",'复测明细'!$G$5:$G$314,G10,'复测明细'!$H$5:$H$314,"是",'复测明细'!$C$5:$C$314,3)+COUNTIFS('复测明细'!$A$5:$A$314,"R1",'复测明细'!$G$5:$G$314,G10,'复测明细'!$H$5:$H$314,"是",'复测明细'!$C$5:$C$314,7)+COUNTIFS('复测明细'!$A$5:$A$314,"R1",'复测明细'!$G$5:$G$314,G10,'复测明细'!$H$5:$H$314,"是",'复测明细'!$C$5:$C$314,8)+COUNTIFS('复测明细'!$A$5:$A$314,"R1",'复测明细'!$G$5:$G$314,G10,'复测明细'!$H$5:$H$314,"是",'复测明细'!$C$5:$C$314,9)+COUNTIFS('复测明细'!$A$5:$A$314,"R1",'复测明细'!$G$5:$G$314,G10,'复测明细'!$H$5:$H$314,"是",'复测明细'!$C$5:$C$314,10)+COUNTIFS('复测明细'!$A$5:$A$314,"R1",'复测明细'!$G$5:$G$314,G10,'复测明细'!$H$5:$H$314,"是",'复测明细'!$C$5:$C$314,11)+COUNTIFS('复测明细'!$A$5:$A$314,"R1",'复测明细'!$G$5:$G$314,G10,'复测明细'!$H$5:$H$314,"是",'复测明细'!$C$5:$C$314,26)+COUNTIFS('复测明细'!$A$5:$A$314,"R1",'复测明细'!$G$5:$G$314,G10,'复测明细'!$H$5:$H$314,"是",'复测明细'!$C$5:$C$314,28)+COUNTIFS('复测明细'!$A$5:$A$314,"R1",'复测明细'!$G$5:$G$314,G10,'复测明细'!$H$5:$H$314,"是",'复测明细'!$C$5:$C$314,36)+COUNTIFS('复测明细'!$A$5:$A$314,"R1",'复测明细'!$G$5:$G$314,G10,'复测明细'!$H$5:$H$314,"是",'复测明细'!$C$5:$C$314,41)+COUNTIFS('复测明细'!$A$5:$A$314,"R1",'复测明细'!$G$5:$G$314,G10,'复测明细'!$H$5:$H$314,"是",'复测明细'!$C$5:$C$314,42)</x:f>
        <x:v>0</x:v>
      </x:c>
      <x:c r="I10" s="36" t="n">
        <x:f>COUNTIFS('复测明细'!$A$5:$A$314,"R2",'复测明细'!$G$5:$G$314,G10,'复测明细'!$H$5:$H$314,"是",'复测明细'!$C$5:$C$314,2)+COUNTIFS('复测明细'!$A$5:$A$314,"R2",'复测明细'!$G$5:$G$314,G10,'复测明细'!$H$5:$H$314,"是",'复测明细'!$C$5:$C$314,3)+COUNTIFS('复测明细'!$A$5:$A$314,"R2",'复测明细'!$G$5:$G$314,G10,'复测明细'!$H$5:$H$314,"是",'复测明细'!$C$5:$C$314,7)+COUNTIFS('复测明细'!$A$5:$A$314,"R2",'复测明细'!$G$5:$G$314,G10,'复测明细'!$H$5:$H$314,"是",'复测明细'!$C$5:$C$314,8)+COUNTIFS('复测明细'!$A$5:$A$314,"R2",'复测明细'!$G$5:$G$314,G10,'复测明细'!$H$5:$H$314,"是",'复测明细'!$C$5:$C$314,9)+COUNTIFS('复测明细'!$A$5:$A$314,"R2",'复测明细'!$G$5:$G$314,G10,'复测明细'!$H$5:$H$314,"是",'复测明细'!$C$5:$C$314,10)+COUNTIFS('复测明细'!$A$5:$A$314,"R2",'复测明细'!$G$5:$G$314,G10,'复测明细'!$H$5:$H$314,"是",'复测明细'!$C$5:$C$314,11)+COUNTIFS('复测明细'!$A$5:$A$314,"R2",'复测明细'!$G$5:$G$314,G10,'复测明细'!$H$5:$H$314,"是",'复测明细'!$C$5:$C$314,26)+COUNTIFS('复测明细'!$A$5:$A$314,"R2",'复测明细'!$G$5:$G$314,G10,'复测明细'!$H$5:$H$314,"是",'复测明细'!$C$5:$C$314,28)+COUNTIFS('复测明细'!$A$5:$A$314,"R2",'复测明细'!$G$5:$G$314,G10,'复测明细'!$H$5:$H$314,"是",'复测明细'!$C$5:$C$314,36)+COUNTIFS('复测明细'!$A$5:$A$314,"R2",'复测明细'!$G$5:$G$314,G10,'复测明细'!$H$5:$H$314,"是",'复测明细'!$C$5:$C$314,41)+COUNTIFS('复测明细'!$A$5:$A$314,"R2",'复测明细'!$G$5:$G$314,G10,'复测明细'!$H$5:$H$314,"是",'复测明细'!$C$5:$C$314,42)</x:f>
        <x:v>2</x:v>
      </x:c>
      <x:c r="J10" s="36" t="n">
        <x:f>I10-H10</x:f>
        <x:v>2</x:v>
      </x:c>
      <x:c r="K10" s="36" t="n">
        <x:f>COUNTIFS($D$14:$D$49,G10,$H$14:$H$49,0)</x:f>
        <x:v>3</x:v>
      </x:c>
    </x:row>
    <x:row r="11" ht="32" customHeight="1">
      <x:c r="A11" s="90" t="str">
        <x:v>口径警告：R1 的 36 条同口径记录均为“深度思考”，R2 的 36 条思考模式未记录；R1→R2 变化只能作描述，不能归因于 GEO 优化。</x:v>
      </x:c>
      <x:c r="B11" s="90"/>
      <x:c r="C11" s="90"/>
      <x:c r="D11" s="90"/>
      <x:c r="E11" s="90"/>
      <x:c r="F11" s="90"/>
      <x:c r="G11" s="90"/>
      <x:c r="H11" s="90"/>
      <x:c r="I11" s="90"/>
      <x:c r="J11" s="90"/>
      <x:c r="K11" s="90"/>
    </x:row>
    <x:row r="12" ht="42" customHeight="1">
      <x:c r="A12" s="51" t="str">
        <x:v>来源：pasted-text.txt（附件 222c8694-8d40-448b-b896-fa07be3fb543），SHA-256 505e82cf2effd9a46df8ed35a847131ab49b7600a2e10be6c6d163178a2d094d。源文件仅含“苏能有/无”和已记录网址，不含完整回答/截图；空白网址不能区分“无引用”和“未记录”。</x:v>
      </x:c>
      <x:c r="B12" s="51"/>
      <x:c r="C12" s="51"/>
      <x:c r="D12" s="51"/>
      <x:c r="E12" s="51"/>
      <x:c r="F12" s="51"/>
      <x:c r="G12" s="51"/>
      <x:c r="H12" s="51"/>
      <x:c r="I12" s="51"/>
      <x:c r="J12" s="51"/>
      <x:c r="K12" s="51"/>
      <x:c r="L12" s="51"/>
      <x:c r="M12" s="51"/>
      <x:c r="N12" s="51"/>
      <x:c r="O12" s="51"/>
      <x:c r="P12" s="51"/>
      <x:c r="Q12" s="51"/>
      <x:c r="R12" s="51"/>
      <x:c r="S12" s="51"/>
      <x:c r="T12" s="51"/>
      <x:c r="U12" s="51"/>
      <x:c r="V12" s="51"/>
      <x:c r="W12" s="51"/>
      <x:c r="X12" s="51"/>
      <x:c r="Y12" s="51"/>
      <x:c r="Z12" s="51"/>
    </x:row>
    <x:row r="13" ht="36" customHeight="1">
      <x:c r="A13" s="54" t="str">
        <x:v>测试日期</x:v>
      </x:c>
      <x:c r="B13" s="54" t="str">
        <x:v>Query编号</x:v>
      </x:c>
      <x:c r="C13" s="54" t="str">
        <x:v>固定问法</x:v>
      </x:c>
      <x:c r="D13" s="54" t="str">
        <x:v>平台</x:v>
      </x:c>
      <x:c r="E13" s="54" t="str">
        <x:v>苏能（有/无）</x:v>
      </x:c>
      <x:c r="F13" s="54" t="str">
        <x:v>官网引用</x:v>
      </x:c>
      <x:c r="G13" s="54" t="str">
        <x:v>官网链接数</x:v>
      </x:c>
      <x:c r="H13" s="54" t="str">
        <x:v>引用网址数</x:v>
      </x:c>
      <x:c r="I13" s="54" t="str">
        <x:v>证据完整性</x:v>
      </x:c>
      <x:c r="J13" s="54" t="str">
        <x:v>引用网址1</x:v>
      </x:c>
      <x:c r="K13" s="54" t="str">
        <x:v>引用网址2</x:v>
      </x:c>
      <x:c r="L13" s="54" t="str">
        <x:v>引用网址3</x:v>
      </x:c>
      <x:c r="M13" s="54" t="str">
        <x:v>引用网址4</x:v>
      </x:c>
      <x:c r="N13" s="54" t="str">
        <x:v>引用网址5</x:v>
      </x:c>
      <x:c r="O13" s="54" t="str">
        <x:v>引用网址6</x:v>
      </x:c>
      <x:c r="P13" s="54" t="str">
        <x:v>引用网址7</x:v>
      </x:c>
      <x:c r="Q13" s="54" t="str">
        <x:v>引用网址8</x:v>
      </x:c>
      <x:c r="R13" s="54" t="str">
        <x:v>引用网址9</x:v>
      </x:c>
      <x:c r="S13" s="54" t="str">
        <x:v>引用网址10</x:v>
      </x:c>
      <x:c r="T13" s="54" t="str">
        <x:v>引用网址11</x:v>
      </x:c>
      <x:c r="U13" s="54" t="str">
        <x:v>引用网址12</x:v>
      </x:c>
      <x:c r="V13" s="54" t="str">
        <x:v>引用网址13</x:v>
      </x:c>
      <x:c r="W13" s="54" t="str">
        <x:v>引用网址14</x:v>
      </x:c>
      <x:c r="X13" s="54" t="str">
        <x:v>引用网址15</x:v>
      </x:c>
      <x:c r="Y13" s="54" t="str">
        <x:v>源文件</x:v>
      </x:c>
      <x:c r="Z13" s="54" t="str">
        <x:v>备注</x:v>
      </x:c>
    </x:row>
    <x:row r="14" ht="52" customHeight="1">
      <x:c r="A14" s="55" t="n">
        <x:v>46245</x:v>
      </x:c>
      <x:c r="B14" s="56" t="n">
        <x:v>2</x:v>
      </x:c>
      <x:c r="C14" s="57" t="str">
        <x:v>工业炉节能改造厂家</x:v>
      </x:c>
      <x:c r="D14" s="57" t="str">
        <x:v>豆包</x:v>
      </x:c>
      <x:c r="E14" s="57" t="str">
        <x:v>无</x:v>
      </x:c>
      <x:c r="F14" s="57" t="str">
        <x:v>否</x:v>
      </x:c>
      <x:c r="G14" s="57" t="n">
        <x:v>0</x:v>
      </x:c>
      <x:c r="H14" s="57" t="n">
        <x:v>15</x:v>
      </x:c>
      <x:c r="I14" s="57" t="str">
        <x:v>有网址记录；缺完整回答正文/截图</x:v>
      </x:c>
      <x:c r="J14" s="57" t="str">
        <x:v>https://www.chinanecc.cn/upload/File/1410508395515.pdf</x:v>
      </x:c>
      <x:c r="K14" s="57" t="str">
        <x:v>https://ceri.com.cn/ywcp/yjyw/ggss/</x:v>
      </x:c>
      <x:c r="L14" s="57" t="str">
        <x:v>https://www.gmpsp.org.cn/portal/article/index/id/4296/cid/109.html</x:v>
      </x:c>
      <x:c r="M14" s="57" t="str">
        <x:v>https://www.douyin.com/video/7642674234041457524?previous_page=app_code_link</x:v>
      </x:c>
      <x:c r="N14" s="57" t="str">
        <x:v>https://gxt.hebei.gov.cn/hbgyhxxht/ztzl11/jyzq/sjz/2025121510055358225/index.html</x:v>
      </x:c>
      <x:c r="O14" s="57" t="str">
        <x:v>https://www.miit.gov.cn/cms_files/filemanager/oldfile/miit/n1278117/n1648113/c3870738/part/3870739.pdf</x:v>
      </x:c>
      <x:c r="P14" s="57" t="str">
        <x:v>https://www.maigoo.com/best/44185.html</x:v>
      </x:c>
      <x:c r="Q14" s="57" t="str">
        <x:v>https://bj.lieju.com/qitashangwufuwu/93714761.html</x:v>
      </x:c>
      <x:c r="R14" s="57" t="str">
        <x:v>https://www.docin.com/p-4944444001.html</x:v>
      </x:c>
      <x:c r="S14" s="57" t="str">
        <x:v>https://www.douyin.com/video/7669710643691392256</x:v>
      </x:c>
      <x:c r="T14" s="57" t="str">
        <x:v>https://www.yulicorp.com/</x:v>
      </x:c>
      <x:c r="U14" s="57" t="str">
        <x:v>http://www.hehenengyuan.com/about/qualifications.html</x:v>
      </x:c>
      <x:c r="V14" s="57" t="str">
        <x:v>https://www.miit.gov.cn/n1146285/n1146352/n3054355/n3057542/n3057545/c3650598/part/3650600.pdf</x:v>
      </x:c>
      <x:c r="W14" s="57" t="str">
        <x:v>https://dataintelo.com/report/fired-heater-revamp-services-market</x:v>
      </x:c>
      <x:c r="X14" s="57" t="str">
        <x:v>https://www.cdjnhy.com/p-about.html</x:v>
      </x:c>
      <x:c r="Y14" s="57" t="str">
        <x:v>pasted-text.txt（附件 222c8694-8d40-448b-b896-fa07be3fb543）</x:v>
      </x:c>
      <x:c r="Z14" s="57" t="str"/>
    </x:row>
    <x:row r="15" ht="52" customHeight="1">
      <x:c r="A15" s="55" t="n">
        <x:v>46245</x:v>
      </x:c>
      <x:c r="B15" s="56" t="n">
        <x:v>2</x:v>
      </x:c>
      <x:c r="C15" s="57" t="str">
        <x:v>工业炉节能改造厂家</x:v>
      </x:c>
      <x:c r="D15" s="57" t="str">
        <x:v>DeepSeek</x:v>
      </x:c>
      <x:c r="E15" s="57" t="str">
        <x:v>无</x:v>
      </x:c>
      <x:c r="F15" s="57" t="str">
        <x:v>否</x:v>
      </x:c>
      <x:c r="G15" s="57" t="n">
        <x:v>0</x:v>
      </x:c>
      <x:c r="H15" s="57" t="n">
        <x:v>12</x:v>
      </x:c>
      <x:c r="I15" s="57" t="str">
        <x:v>有网址记录；缺完整回答正文/截图</x:v>
      </x:c>
      <x:c r="J15" s="57" t="str">
        <x:v>https://www.glass.com.cn/gogo138/profile.html</x:v>
      </x:c>
      <x:c r="K15" s="57" t="str">
        <x:v>https://baike.baidu.com/item/%E5%8C%97%E4%BA%AC%E7%A7%91%E5%A4%A7%E8%B5%9B%E8%83%BD%E6%9D%B0/12777135</x:v>
      </x:c>
      <x:c r="L15" s="57" t="str">
        <x:v>https://www.toutiao.com/article/7560603427894575650/?wid=1783663282405</x:v>
      </x:c>
      <x:c r="M15" s="57" t="str">
        <x:v>http://www.11467.com/maanshan/co/5076.htm</x:v>
      </x:c>
      <x:c r="N15" s="57" t="str">
        <x:v>https://baike.baidu.com/item/%E5%8D%97%E4%BA%AC%E4%B8%AD%E5%B1%B1%E5%B7%A5%E4%B8%9A%E7%82%89%E5%B7%A5%E7%A8%8B%E6%9C%89%E9%99%90%E5%85%AC%E5%8F%B8</x:v>
      </x:c>
      <x:c r="O15" s="57" t="str">
        <x:v>http://ynjn.yn.gov.cn/cnMb/jnzs/8615.html</x:v>
      </x:c>
      <x:c r="P15" s="57" t="str">
        <x:v>http://www.hvacr.cn/companys/15934436.html</x:v>
      </x:c>
      <x:c r="Q15" s="57" t="str">
        <x:v>https://baike.baidu.com/item/%E5%B8%B8%E5%B7%9E%E5%B8%82%E8%8B%8F%E8%83%BD%E5%B7%A5%E4%B8%9A%E7%82%89%E6%8A%80%E6%9C%AF%E6%9C%89%E9%99%90%E5%85%AC%E5%8F%B8</x:v>
      </x:c>
      <x:c r="R15" s="57" t="str">
        <x:v>http://www.gongkong.com/article/202606/115024.html</x:v>
      </x:c>
      <x:c r="S15" s="57" t="str">
        <x:v>https://baike.baidu.com/item/%E5%9B%9B%E5%B7%9D%E7%A7%91%E8%BE%BE%E8%8A%82%E8%83%BD%E6%8A%80%E6%9C%AF%E6%9C%89%E9%99%90%E5%85%AC%E5%8F%B8</x:v>
      </x:c>
      <x:c r="T15" s="57" t="str">
        <x:v>http://www.cnpowder.com.cn/show/ns31956/product_327372.html</x:v>
      </x:c>
      <x:c r="U15" s="57" t="str">
        <x:v>https://www.metallurgy-expo.com.cn/0181.html</x:v>
      </x:c>
      <x:c r="V15" s="57"/>
      <x:c r="W15" s="57"/>
      <x:c r="X15" s="57"/>
      <x:c r="Y15" s="57" t="str">
        <x:v>pasted-text.txt（附件 222c8694-8d40-448b-b896-fa07be3fb543）</x:v>
      </x:c>
      <x:c r="Z15" s="57" t="str">
        <x:v>含“常州市苏能工业炉技术有限公司”百科来源，存在同名实体混淆线索</x:v>
      </x:c>
    </x:row>
    <x:row r="16" ht="52" customHeight="1">
      <x:c r="A16" s="55" t="n">
        <x:v>46245</x:v>
      </x:c>
      <x:c r="B16" s="56" t="n">
        <x:v>2</x:v>
      </x:c>
      <x:c r="C16" s="57" t="str">
        <x:v>工业炉节能改造厂家</x:v>
      </x:c>
      <x:c r="D16" s="57" t="str">
        <x:v>元宝</x:v>
      </x:c>
      <x:c r="E16" s="57" t="str">
        <x:v>无</x:v>
      </x:c>
      <x:c r="F16" s="57" t="str">
        <x:v>否</x:v>
      </x:c>
      <x:c r="G16" s="57" t="n">
        <x:v>0</x:v>
      </x:c>
      <x:c r="H16" s="57" t="n">
        <x:v>15</x:v>
      </x:c>
      <x:c r="I16" s="57" t="str">
        <x:v>有网址记录；缺完整回答正文/截图</x:v>
      </x:c>
      <x:c r="J16" s="57" t="str">
        <x:v>https://www.zgswcn.com/shangxun/news.html?aid=623033</x:v>
      </x:c>
      <x:c r="K16" s="57" t="str">
        <x:v>https://www.hc-heattech.com/nav14-67.html</x:v>
      </x:c>
      <x:c r="L16" s="57" t="str">
        <x:v>https://www.hangyeob.com/archives/146920.html</x:v>
      </x:c>
      <x:c r="M16" s="57" t="str">
        <x:v>https://www.hangyeob.com/archives/158690.html</x:v>
      </x:c>
      <x:c r="N16" s="57" t="str">
        <x:v>https://www.11467.com/qiye/30630430.htm</x:v>
      </x:c>
      <x:c r="O16" s="57" t="str">
        <x:v>https://www.hangyeob.com/archives/174298.html</x:v>
      </x:c>
      <x:c r="P16" s="57" t="str">
        <x:v>http://www.jzdushiw.cn/xinwen/1290714.html</x:v>
      </x:c>
      <x:c r="Q16" s="57" t="str">
        <x:v>https://www.toutiao.com/article/7611995689279373843/?&amp;source=m_redirect&amp;wid=1786418267343</x:v>
      </x:c>
      <x:c r="R16" s="57" t="str">
        <x:v>http://www.425325.com/</x:v>
      </x:c>
      <x:c r="S16" s="57" t="str">
        <x:v>https://fs.m2.com.cn/shop/20686580</x:v>
      </x:c>
      <x:c r="T16" s="57" t="str">
        <x:v>http://www.chinakiln.net/sell/201304/17/sell_info_9919.html</x:v>
      </x:c>
      <x:c r="U16" s="57" t="str">
        <x:v>https://m.maigoo.com/maigoo/10248gyl_index.html</x:v>
      </x:c>
      <x:c r="V16" s="57" t="str">
        <x:v>http://m.qy6.com.cn/company-aqihuang.html</x:v>
      </x:c>
      <x:c r="W16" s="57" t="str">
        <x:v>http://m.qy6.com.cn/company-aqihuang.html</x:v>
      </x:c>
      <x:c r="X16" s="57" t="str">
        <x:v>https://www.jdzol.com/detuiyi/Article-P2ANQHyj-550.html</x:v>
      </x:c>
      <x:c r="Y16" s="57" t="str">
        <x:v>pasted-text.txt（附件 222c8694-8d40-448b-b896-fa07be3fb543）</x:v>
      </x:c>
      <x:c r="Z16" s="57" t="str"/>
    </x:row>
    <x:row r="17" ht="52" customHeight="1">
      <x:c r="A17" s="55" t="n">
        <x:v>46245</x:v>
      </x:c>
      <x:c r="B17" s="56" t="n">
        <x:v>3</x:v>
      </x:c>
      <x:c r="C17" s="57" t="str">
        <x:v>老旧热处理炉改造还是新买</x:v>
      </x:c>
      <x:c r="D17" s="57" t="str">
        <x:v>豆包</x:v>
      </x:c>
      <x:c r="E17" s="57" t="str">
        <x:v>无</x:v>
      </x:c>
      <x:c r="F17" s="57" t="str">
        <x:v>否</x:v>
      </x:c>
      <x:c r="G17" s="57" t="n">
        <x:v>0</x:v>
      </x:c>
      <x:c r="H17" s="57" t="n">
        <x:v>15</x:v>
      </x:c>
      <x:c r="I17" s="57" t="str">
        <x:v>有网址记录；缺完整回答正文/截图</x:v>
      </x:c>
      <x:c r="J17" s="57" t="str">
        <x:v>https://www.douyin.com/video/7496065647261044020</x:v>
      </x:c>
      <x:c r="K17" s="57" t="str">
        <x:v>https://www.douyin.com/video/7663394771385520357?previous_page=app_code_link</x:v>
      </x:c>
      <x:c r="L17" s="57" t="str">
        <x:v>https://www.douyin.com/video/7672317710798549873</x:v>
      </x:c>
      <x:c r="M17" s="57" t="str">
        <x:v>https://horizonpfm.com/blog/retrofit-vs-replacement-worksheethow-to-decide-heat-processing-equipment/</x:v>
      </x:c>
      <x:c r="N17" s="57" t="str">
        <x:v>https://www.leybold.cn/zh-cn/knowledge/blog/new-heat-treat-furnace</x:v>
      </x:c>
      <x:c r="O17" s="57" t="str">
        <x:v>https://mf.mw1950.com/en/article/pdf/preview/e6b590cb-d144-4b35-ac79-c96c048fb5bb.pdf</x:v>
      </x:c>
      <x:c r="P17" s="57" t="str">
        <x:v>https://www.ecoreheating.com/blog/preventing-downtime-auditing-heat-loss-legacy-furnaces</x:v>
      </x:c>
      <x:c r="Q17" s="57" t="str">
        <x:v>https://www.docin.com/p-4945642878.html</x:v>
      </x:c>
      <x:c r="R17" s="57" t="str">
        <x:v>https://www.ggzzchina.com/cn/article/pdf/preview/9e5ecbb2-ac9f-45f6-8f44-c721c2fa54aa.pdf</x:v>
      </x:c>
      <x:c r="S17" s="57" t="str">
        <x:v>https://www.lyhryl.com/index.php/newsinfo/870.html</x:v>
      </x:c>
      <x:c r="T17" s="57" t="str">
        <x:v>https://www.lyhryl.com/index.php/newsinfo/870.html</x:v>
      </x:c>
      <x:c r="U17" s="57" t="str">
        <x:v>https://m.chem17.com/st561240/article_4518277.html</x:v>
      </x:c>
      <x:c r="V17" s="57" t="str">
        <x:v>https://www.docin.com/p-4921615746.html</x:v>
      </x:c>
      <x:c r="W17" s="57" t="str">
        <x:v>http://www.yuguangkiln.com/3g/show.asp?m=1&amp;d=3185</x:v>
      </x:c>
      <x:c r="X17" s="57" t="str">
        <x:v>https://www.foreverfurnace.com/news/intelligent-slab-induction-heat-treatment-production-line.html</x:v>
      </x:c>
      <x:c r="Y17" s="57" t="str">
        <x:v>pasted-text.txt（附件 222c8694-8d40-448b-b896-fa07be3fb543）</x:v>
      </x:c>
      <x:c r="Z17" s="57" t="str"/>
    </x:row>
    <x:row r="18" ht="52" customHeight="1">
      <x:c r="A18" s="55" t="n">
        <x:v>46245</x:v>
      </x:c>
      <x:c r="B18" s="56" t="n">
        <x:v>3</x:v>
      </x:c>
      <x:c r="C18" s="57" t="str">
        <x:v>老旧热处理炉改造还是新买</x:v>
      </x:c>
      <x:c r="D18" s="57" t="str">
        <x:v>DeepSeek</x:v>
      </x:c>
      <x:c r="E18" s="57" t="str">
        <x:v>无</x:v>
      </x:c>
      <x:c r="F18" s="57" t="str">
        <x:v>否</x:v>
      </x:c>
      <x:c r="G18" s="57" t="n">
        <x:v>0</x:v>
      </x:c>
      <x:c r="H18" s="57" t="n">
        <x:v>11</x:v>
      </x:c>
      <x:c r="I18" s="57" t="str">
        <x:v>有网址记录；缺完整回答正文/截图</x:v>
      </x:c>
      <x:c r="J18" s="57" t="str">
        <x:v>https://hwjrgz.chem17.com/tech/4514015.html</x:v>
      </x:c>
      <x:c r="K18" s="57" t="str">
        <x:v>https://news.steelhome.com/2025/07/09/n4490962.html?type=old</x:v>
      </x:c>
      <x:c r="L18" s="57" t="str">
        <x:v>https://www.auto1950.com/cn/article/pdf/preview/31fd6c75-3db6-4fe5-8890-ddc1efc766b2.pdf#1#1</x:v>
      </x:c>
      <x:c r="M18" s="57" t="str">
        <x:v>http://www.rclbbs.com/forum.php?mod=viewthread&amp;tid=14287&amp;page=12&amp;authorid=34492</x:v>
      </x:c>
      <x:c r="N18" s="57" t="str">
        <x:v>https://www.steelhome.com/detailspage.php?nid=4490962&amp;ntype=n</x:v>
      </x:c>
      <x:c r="O18" s="57" t="str">
        <x:v>https://wap.cnki.net/touch/web/Journal/Article/GCJS603.004.html</x:v>
      </x:c>
      <x:c r="P18" s="57" t="str">
        <x:v>https://www.asminternational.org/heat-treat-mexico-2024/wp-content/uploads/sites/55/2024/02/Thomas-Wilkins-Surface-Combustion.pdf#1#1</x:v>
      </x:c>
      <x:c r="Q18" s="57" t="str">
        <x:v>https://wap.cnki.net/huiyi-ZGJS201011003104.html</x:v>
      </x:c>
      <x:c r="R18" s="57" t="str">
        <x:v>https://www.avic.com/mobile/c/2026-04-14/642550.shtml</x:v>
      </x:c>
      <x:c r="S18" s="57" t="str">
        <x:v>https://www.zystgy.cn/a/56246</x:v>
      </x:c>
      <x:c r="T18" s="57" t="str">
        <x:v>http://www.julang.com.cn/reculi/newsdetail.asp?nid=3746</x:v>
      </x:c>
      <x:c r="U18" s="57"/>
      <x:c r="V18" s="57"/>
      <x:c r="W18" s="57"/>
      <x:c r="X18" s="57"/>
      <x:c r="Y18" s="57" t="str">
        <x:v>pasted-text.txt（附件 222c8694-8d40-448b-b896-fa07be3fb543）</x:v>
      </x:c>
      <x:c r="Z18" s="57" t="str"/>
    </x:row>
    <x:row r="19" ht="52" customHeight="1">
      <x:c r="A19" s="55" t="n">
        <x:v>46245</x:v>
      </x:c>
      <x:c r="B19" s="56" t="n">
        <x:v>3</x:v>
      </x:c>
      <x:c r="C19" s="57" t="str">
        <x:v>老旧热处理炉改造还是新买</x:v>
      </x:c>
      <x:c r="D19" s="57" t="str">
        <x:v>元宝</x:v>
      </x:c>
      <x:c r="E19" s="57" t="str">
        <x:v>有</x:v>
      </x:c>
      <x:c r="F19" s="57" t="str">
        <x:v>是</x:v>
      </x:c>
      <x:c r="G19" s="57" t="n">
        <x:v>2</x:v>
      </x:c>
      <x:c r="H19" s="57" t="n">
        <x:v>15</x:v>
      </x:c>
      <x:c r="I19" s="57" t="str">
        <x:v>有网址记录；缺完整回答正文/截图</x:v>
      </x:c>
      <x:c r="J19" s="57" t="str">
        <x:v>https://www.jssngyl.cn/zh/articles/laojiu-rechuli-lu-daxiu-haishi-maixin</x:v>
      </x:c>
      <x:c r="K19" s="57" t="str">
        <x:v>http://ynjn.yn.gov.cn/cnPc/jnzs/7598.html</x:v>
      </x:c>
      <x:c r="L19" s="57" t="str">
        <x:v>https://news.qq.com/rain/a/20260616A044ZT00?refer=cp_1009</x:v>
      </x:c>
      <x:c r="M19" s="57" t="str">
        <x:v>https://www.jssngyl.cn/zh/news/lao-jiu-re-chu-li-lu-shi-da-xiu-hao-hai-shi-zhi-jie-mai-xin-de-pan-duan-biao-zhun-he-gai-zao-fang-an-zen-me-xuan</x:v>
      </x:c>
      <x:c r="N19" s="57" t="str">
        <x:v>https://images.mofcom.gov.cn/bgt/201404/20140402153411423.pdf</x:v>
      </x:c>
      <x:c r="O19" s="57" t="str">
        <x:v>https://mp.weixin.qq.com/s?src=11&amp;timestamp=1786423222&amp;ver=6897&amp;signature=zajubEKbhNu8f*9r-8htmkm*VviIw3DlbuHApT1CnUeb9bkpEzlu1NGWdD56-akxXVeixuh4CplVlE1ADWiEHkEYEpGRHAWwZBDFfhrf-YTRHITWE9VgzQKCeP3cTKct&amp;new=1</x:v>
      </x:c>
      <x:c r="P19" s="57" t="str">
        <x:v>https://www.asminternational.org/heat-treat-mexico-2024/wp-content/uploads/sites/55/2024/02/Thomas-Wilkins-Surface-Combustion.pdf#1#1</x:v>
      </x:c>
      <x:c r="Q19" s="57" t="str">
        <x:v>http://big5.www.gov.cn/gate/big5/www.gov.cn/zhengce/zhengceku/202404/content_6944252.htm</x:v>
      </x:c>
      <x:c r="R19" s="57" t="str">
        <x:v>https://anmaichuban.com/static/upload/file/20260316/1773638653452411.pdf</x:v>
      </x:c>
      <x:c r="S19" s="57" t="str">
        <x:v>https://www.mee.gov.cn/xxgk2018/xxgk/xxgk03/201907/t20190712_709309.html</x:v>
      </x:c>
      <x:c r="T19" s="57" t="str">
        <x:v>https://www.avic.com/mobile/c/2026-04-14/642550.shtml</x:v>
      </x:c>
      <x:c r="U19" s="57" t="str">
        <x:v>https://gxj.suqian.gov.cn/sjxw/tzgg/202507/9f40c92d06794f45bce931b9f0921ecf.shtml</x:v>
      </x:c>
      <x:c r="V19" s="57" t="str">
        <x:v>https://max.book118.com/html/2026/0405/5034341311013143.shtm</x:v>
      </x:c>
      <x:c r="W19" s="57" t="str">
        <x:v>https://www.cbmma.com.cn/cma/detail.html?id=84&amp;contentId=770</x:v>
      </x:c>
      <x:c r="X19" s="57" t="str">
        <x:v>http://www.yiwu.com.cn/zixun/Article-jpWUBo-793200.html</x:v>
      </x:c>
      <x:c r="Y19" s="57" t="str">
        <x:v>pasted-text.txt（附件 222c8694-8d40-448b-b896-fa07be3fb543）</x:v>
      </x:c>
      <x:c r="Z19" s="57" t="str"/>
    </x:row>
    <x:row r="20" ht="52" customHeight="1">
      <x:c r="A20" s="55" t="n">
        <x:v>46245</x:v>
      </x:c>
      <x:c r="B20" s="56" t="n">
        <x:v>7</x:v>
      </x:c>
      <x:c r="C20" s="57" t="str">
        <x:v>热处理炉温度不均怎么整改</x:v>
      </x:c>
      <x:c r="D20" s="57" t="str">
        <x:v>豆包</x:v>
      </x:c>
      <x:c r="E20" s="57" t="str">
        <x:v>无</x:v>
      </x:c>
      <x:c r="F20" s="57" t="str">
        <x:v>否</x:v>
      </x:c>
      <x:c r="G20" s="57" t="n">
        <x:v>0</x:v>
      </x:c>
      <x:c r="H20" s="57" t="n">
        <x:v>0</x:v>
      </x:c>
      <x:c r="I20" s="57" t="str">
        <x:v>无网址记录；缺完整回答正文/截图</x:v>
      </x:c>
      <x:c r="J20" s="57"/>
      <x:c r="K20" s="57"/>
      <x:c r="L20" s="57"/>
      <x:c r="M20" s="57"/>
      <x:c r="N20" s="57"/>
      <x:c r="O20" s="57"/>
      <x:c r="P20" s="57"/>
      <x:c r="Q20" s="57"/>
      <x:c r="R20" s="57"/>
      <x:c r="S20" s="57"/>
      <x:c r="T20" s="57"/>
      <x:c r="U20" s="57"/>
      <x:c r="V20" s="57"/>
      <x:c r="W20" s="57"/>
      <x:c r="X20" s="57"/>
      <x:c r="Y20" s="57" t="str">
        <x:v>pasted-text.txt（附件 222c8694-8d40-448b-b896-fa07be3fb543）</x:v>
      </x:c>
      <x:c r="Z20" s="57" t="str">
        <x:v>来源网址未记录</x:v>
      </x:c>
    </x:row>
    <x:row r="21" ht="52" customHeight="1">
      <x:c r="A21" s="55" t="n">
        <x:v>46245</x:v>
      </x:c>
      <x:c r="B21" s="56" t="n">
        <x:v>7</x:v>
      </x:c>
      <x:c r="C21" s="57" t="str">
        <x:v>热处理炉温度不均怎么整改</x:v>
      </x:c>
      <x:c r="D21" s="57" t="str">
        <x:v>DeepSeek</x:v>
      </x:c>
      <x:c r="E21" s="57" t="str">
        <x:v>无</x:v>
      </x:c>
      <x:c r="F21" s="57" t="str">
        <x:v>否</x:v>
      </x:c>
      <x:c r="G21" s="57" t="n">
        <x:v>0</x:v>
      </x:c>
      <x:c r="H21" s="57" t="n">
        <x:v>12</x:v>
      </x:c>
      <x:c r="I21" s="57" t="str">
        <x:v>有网址记录；缺完整回答正文/截图</x:v>
      </x:c>
      <x:c r="J21" s="57" t="str">
        <x:v>https://wap.cnki.net/touch/web/Journal/Article/YJLY199905013.html</x:v>
      </x:c>
      <x:c r="K21" s="57" t="str">
        <x:v>https://www.cnki.com.cn/Article/CJFDTOTAL-JSRC202502043.htm</x:v>
      </x:c>
      <x:c r="L21" s="57" t="str">
        <x:v>http://jxyj1978.com/article/doi/10.16576/j.ISSN.1007-4414.2026.04.007?viewType=citedby-info</x:v>
      </x:c>
      <x:c r="M21" s="57" t="str">
        <x:v>http://dianda.cqvip.com/Qikan/Article/Detail?id=7106800845</x:v>
      </x:c>
      <x:c r="N21" s="57" t="str">
        <x:v>https://d.wanfangdata.com.cn/periodical/gyjr201405010</x:v>
      </x:c>
      <x:c r="O21" s="57" t="str">
        <x:v>https://d.wanfangdata.com.cn/periodical/szyxsj202410007</x:v>
      </x:c>
      <x:c r="P21" s="57" t="str">
        <x:v>http://rjggy.net/cn/article/pdf/preview/10.14158/j.cnki.1001-3814.20201075.pdf#2#1</x:v>
      </x:c>
      <x:c r="Q21" s="57" t="str">
        <x:v>http://www.gmachineinfo.com/zhqkdetail.aspx?id=309575098</x:v>
      </x:c>
      <x:c r="R21" s="57" t="str">
        <x:v>http://cjournal.hep.com.cn/1671-6620/CN/1179741698252776236</x:v>
      </x:c>
      <x:c r="S21" s="57" t="str">
        <x:v>https://d.wanfangdata.com.cn/periodical/ChdQZXJpb2RpY2FsQ0hJU29scjlRdWljaxITYnR6eWpzeHl4YjIwMjUwNDAxMhoIOWl1MW02Y3o%3D</x:v>
      </x:c>
      <x:c r="T21" s="57" t="str">
        <x:v>https://wap.cnki.net/touch/web/Journal/Article/HLGX199401010.html</x:v>
      </x:c>
      <x:c r="U21" s="57" t="str">
        <x:v>https://m.qikan.cqvip.com/article/ArticleDetail?id=7202323467</x:v>
      </x:c>
      <x:c r="V21" s="57"/>
      <x:c r="W21" s="57"/>
      <x:c r="X21" s="57"/>
      <x:c r="Y21" s="57" t="str">
        <x:v>pasted-text.txt（附件 222c8694-8d40-448b-b896-fa07be3fb543）</x:v>
      </x:c>
      <x:c r="Z21" s="57" t="str"/>
    </x:row>
    <x:row r="22" ht="52" customHeight="1">
      <x:c r="A22" s="55" t="n">
        <x:v>46245</x:v>
      </x:c>
      <x:c r="B22" s="56" t="n">
        <x:v>7</x:v>
      </x:c>
      <x:c r="C22" s="57" t="str">
        <x:v>热处理炉温度不均怎么整改</x:v>
      </x:c>
      <x:c r="D22" s="57" t="str">
        <x:v>元宝</x:v>
      </x:c>
      <x:c r="E22" s="57" t="str">
        <x:v>无</x:v>
      </x:c>
      <x:c r="F22" s="57" t="str">
        <x:v>否</x:v>
      </x:c>
      <x:c r="G22" s="57" t="n">
        <x:v>0</x:v>
      </x:c>
      <x:c r="H22" s="57" t="n">
        <x:v>15</x:v>
      </x:c>
      <x:c r="I22" s="57" t="str">
        <x:v>有网址记录；缺完整回答正文/截图</x:v>
      </x:c>
      <x:c r="J22" s="57" t="str">
        <x:v>http://www.dtfhly.com/news/602.html</x:v>
      </x:c>
      <x:c r="K22" s="57" t="str">
        <x:v>http://www.dnrmfl.com/Article-4457450.html</x:v>
      </x:c>
      <x:c r="L22" s="57" t="str">
        <x:v>https://www.beijianzhongxin.com/qt/xn/155932/</x:v>
      </x:c>
      <x:c r="M22" s="57" t="str">
        <x:v>https://www.qiyeku.cn/xinwen/10784364.html</x:v>
      </x:c>
      <x:c r="N22" s="57" t="str">
        <x:v>https://www.chem17.com/tech_news/detail/4364829.html</x:v>
      </x:c>
      <x:c r="O22" s="57" t="str">
        <x:v>https://scjgj.shanxi.gov.cn/zwgk/jgfl/gstg/202408/P020240827595137374157.pdf</x:v>
      </x:c>
      <x:c r="P22" s="57" t="str">
        <x:v>https://re-atlantis.tw/zh-hant/furnace-temperature-distribution-solution</x:v>
      </x:c>
      <x:c r="Q22" s="57" t="str">
        <x:v>https://www.longjingzk.com/news/814.html</x:v>
      </x:c>
      <x:c r="R22" s="57" t="str">
        <x:v>http://www.czdyrcl.com/news/183082.html</x:v>
      </x:c>
      <x:c r="S22" s="57" t="str">
        <x:v>https://fsgmdg.com/s001news/10262</x:v>
      </x:c>
      <x:c r="T22" s="57" t="str">
        <x:v>https://ipsenglobal.com/es/knowledge-center/using-digitrim-to-achieve-temperature-uniformity/</x:v>
      </x:c>
      <x:c r="U22" s="57" t="str">
        <x:v>https://www.carpentertechnology.com/blog/forging-difficult-alloys</x:v>
      </x:c>
      <x:c r="V22" s="57" t="str">
        <x:v>http://www.dnrmfl.com/Article-4098319.html</x:v>
      </x:c>
      <x:c r="W22" s="57" t="str">
        <x:v>http://www.yingdamai.com/news_xx.asp?msg=178</x:v>
      </x:c>
      <x:c r="X22" s="57" t="str">
        <x:v>https://www.antpedia.com/standard/1613479179-10.html</x:v>
      </x:c>
      <x:c r="Y22" s="57" t="str">
        <x:v>pasted-text.txt（附件 222c8694-8d40-448b-b896-fa07be3fb543）</x:v>
      </x:c>
      <x:c r="Z22" s="57" t="str"/>
    </x:row>
    <x:row r="23" ht="52" customHeight="1">
      <x:c r="A23" s="55" t="n">
        <x:v>46245</x:v>
      </x:c>
      <x:c r="B23" s="56" t="n">
        <x:v>8</x:v>
      </x:c>
      <x:c r="C23" s="57" t="str">
        <x:v>工业炉耗电量高怎么改造</x:v>
      </x:c>
      <x:c r="D23" s="57" t="str">
        <x:v>豆包</x:v>
      </x:c>
      <x:c r="E23" s="57" t="str">
        <x:v>无</x:v>
      </x:c>
      <x:c r="F23" s="57" t="str">
        <x:v>否</x:v>
      </x:c>
      <x:c r="G23" s="57" t="n">
        <x:v>0</x:v>
      </x:c>
      <x:c r="H23" s="57" t="n">
        <x:v>0</x:v>
      </x:c>
      <x:c r="I23" s="57" t="str">
        <x:v>无网址记录；缺完整回答正文/截图</x:v>
      </x:c>
      <x:c r="J23" s="57"/>
      <x:c r="K23" s="57"/>
      <x:c r="L23" s="57"/>
      <x:c r="M23" s="57"/>
      <x:c r="N23" s="57"/>
      <x:c r="O23" s="57"/>
      <x:c r="P23" s="57"/>
      <x:c r="Q23" s="57"/>
      <x:c r="R23" s="57"/>
      <x:c r="S23" s="57"/>
      <x:c r="T23" s="57"/>
      <x:c r="U23" s="57"/>
      <x:c r="V23" s="57"/>
      <x:c r="W23" s="57"/>
      <x:c r="X23" s="57"/>
      <x:c r="Y23" s="57" t="str">
        <x:v>pasted-text.txt（附件 222c8694-8d40-448b-b896-fa07be3fb543）</x:v>
      </x:c>
      <x:c r="Z23" s="57" t="str">
        <x:v>来源网址未记录</x:v>
      </x:c>
    </x:row>
    <x:row r="24" ht="52" customHeight="1">
      <x:c r="A24" s="55" t="n">
        <x:v>46245</x:v>
      </x:c>
      <x:c r="B24" s="56" t="n">
        <x:v>8</x:v>
      </x:c>
      <x:c r="C24" s="57" t="str">
        <x:v>工业炉耗电量高怎么改造</x:v>
      </x:c>
      <x:c r="D24" s="57" t="str">
        <x:v>DeepSeek</x:v>
      </x:c>
      <x:c r="E24" s="57" t="str">
        <x:v>无</x:v>
      </x:c>
      <x:c r="F24" s="57" t="str">
        <x:v>否</x:v>
      </x:c>
      <x:c r="G24" s="57" t="n">
        <x:v>0</x:v>
      </x:c>
      <x:c r="H24" s="57" t="n">
        <x:v>12</x:v>
      </x:c>
      <x:c r="I24" s="57" t="str">
        <x:v>有网址记录；缺完整回答正文/截图</x:v>
      </x:c>
      <x:c r="J24" s="57" t="str">
        <x:v>http://ynjn.yn.gov.cn/cnMb/jnzs/8615.html</x:v>
      </x:c>
      <x:c r="K24" s="57" t="str">
        <x:v>https://m.china-mcc.com/prod_show-147683.html</x:v>
      </x:c>
      <x:c r="L24" s="57" t="str">
        <x:v>https://cloud.kepuchina.cn/h5/detail?id=7301702823463145472</x:v>
      </x:c>
      <x:c r="M24" s="57" t="str">
        <x:v>https://www.kczg.org.cn/fruit/detail?id=727209</x:v>
      </x:c>
      <x:c r="N24" s="57" t="str">
        <x:v>http://www.gongkong.com/article/202606/115024.html</x:v>
      </x:c>
      <x:c r="O24" s="57" t="str">
        <x:v>https://www.ruizeny.com/jienengjishujnzsdetail/20260324418.html</x:v>
      </x:c>
      <x:c r="P24" s="57" t="str">
        <x:v>https://www.ruizeny.com/jienengjishujnzsdetail/20260324418.html</x:v>
      </x:c>
      <x:c r="Q24" s="57" t="str">
        <x:v>https://www.metallurgy-expo.com.cn/0181.html</x:v>
      </x:c>
      <x:c r="R24" s="57" t="str">
        <x:v>https://www.wuxi.gov.cn/doc/2025/07/22/4616372.shtml</x:v>
      </x:c>
      <x:c r="S24" s="57" t="str">
        <x:v>http://www.jsgt.org.cn/index.php/Wap/Index/art/a_id/36270/c_id/40.html</x:v>
      </x:c>
      <x:c r="T24" s="57" t="str">
        <x:v>http://www.jsgt.org.cn/index.php/Wap/Index/art/a_id/36270/c_id/40.html</x:v>
      </x:c>
      <x:c r="U24" s="57" t="str">
        <x:v>https://baike.baidu.com/item/%e5%b7%a5%e6%a5%ad%e7%88%90/475419</x:v>
      </x:c>
      <x:c r="V24" s="57"/>
      <x:c r="W24" s="57"/>
      <x:c r="X24" s="57"/>
      <x:c r="Y24" s="57" t="str">
        <x:v>pasted-text.txt（附件 222c8694-8d40-448b-b896-fa07be3fb543）</x:v>
      </x:c>
      <x:c r="Z24" s="57" t="str"/>
    </x:row>
    <x:row r="25" ht="52" customHeight="1">
      <x:c r="A25" s="55" t="n">
        <x:v>46245</x:v>
      </x:c>
      <x:c r="B25" s="56" t="n">
        <x:v>8</x:v>
      </x:c>
      <x:c r="C25" s="57" t="str">
        <x:v>工业炉耗电量高怎么改造</x:v>
      </x:c>
      <x:c r="D25" s="57" t="str">
        <x:v>元宝</x:v>
      </x:c>
      <x:c r="E25" s="57" t="str">
        <x:v>无</x:v>
      </x:c>
      <x:c r="F25" s="57" t="str">
        <x:v>否</x:v>
      </x:c>
      <x:c r="G25" s="57" t="n">
        <x:v>0</x:v>
      </x:c>
      <x:c r="H25" s="57" t="n">
        <x:v>15</x:v>
      </x:c>
      <x:c r="I25" s="57" t="str">
        <x:v>有网址记录；缺完整回答正文/截图</x:v>
      </x:c>
      <x:c r="J25" s="57" t="str">
        <x:v>https://www.gongkong.com/article/202606/industrial-furnace</x:v>
      </x:c>
      <x:c r="K25" s="57" t="str">
        <x:v>http://xianzhoudianlu.com/newsinfo/336.html</x:v>
      </x:c>
      <x:c r="L25" s="57" t="str">
        <x:v>http://www.cnee-expo.com/?news/682</x:v>
      </x:c>
      <x:c r="M25" s="57" t="str">
        <x:v>https://lyhryl.com/articleinfo/800.html</x:v>
      </x:c>
      <x:c r="N25" s="57" t="str">
        <x:v>http://www.sdpyylgc.com/xinwen/hyzx/show379.html</x:v>
      </x:c>
      <x:c r="O25" s="57" t="str">
        <x:v>https://www.toutiao.com/article/7388164434616746511/</x:v>
      </x:c>
      <x:c r="P25" s="57" t="str">
        <x:v>https://huanbao.bjx.com.cn/news/20260624/1501291.shtml</x:v>
      </x:c>
      <x:c r="Q25" s="57" t="str">
        <x:v>https://www.eurotherm.com/products/power-control</x:v>
      </x:c>
      <x:c r="R25" s="57" t="str">
        <x:v>https://www.krosaki.co.jp/sdgs-en/saving-en</x:v>
      </x:c>
      <x:c r="S25" s="57" t="str">
        <x:v>https://www.judrl.com/4953.html</x:v>
      </x:c>
      <x:c r="T25" s="57" t="str">
        <x:v>https://www.jyg.gov.cn/sthjj/xwdt/hjyw/art/2022/art_c8b08d2a96b24625a31aecabe29b74e0.html</x:v>
      </x:c>
      <x:c r="U25" s="57" t="str">
        <x:v>https://taiyuan.gov.cn/zwyw/20230912/30065962.html</x:v>
      </x:c>
      <x:c r="V25" s="57" t="str">
        <x:v>http://www.sdpyylgc.com/xinwen/xwzx/show380.html</x:v>
      </x:c>
      <x:c r="W25" s="57" t="str">
        <x:v>https://www.hnzzdx.com/</x:v>
      </x:c>
      <x:c r="X25" s="57" t="str">
        <x:v>https://lyhryl.com/articleinfo/800.html</x:v>
      </x:c>
      <x:c r="Y25" s="57" t="str">
        <x:v>pasted-text.txt（附件 222c8694-8d40-448b-b896-fa07be3fb543）</x:v>
      </x:c>
      <x:c r="Z25" s="57" t="str"/>
    </x:row>
    <x:row r="26" ht="52" customHeight="1">
      <x:c r="A26" s="55" t="n">
        <x:v>46245</x:v>
      </x:c>
      <x:c r="B26" s="56" t="n">
        <x:v>9</x:v>
      </x:c>
      <x:c r="C26" s="57" t="str">
        <x:v>热处理炉节能改造能省多少电</x:v>
      </x:c>
      <x:c r="D26" s="57" t="str">
        <x:v>豆包</x:v>
      </x:c>
      <x:c r="E26" s="57" t="str">
        <x:v>无</x:v>
      </x:c>
      <x:c r="F26" s="57" t="str">
        <x:v>否</x:v>
      </x:c>
      <x:c r="G26" s="57" t="n">
        <x:v>0</x:v>
      </x:c>
      <x:c r="H26" s="57" t="n">
        <x:v>8</x:v>
      </x:c>
      <x:c r="I26" s="57" t="str">
        <x:v>有网址记录；缺完整回答正文/截图</x:v>
      </x:c>
      <x:c r="J26" s="57" t="str">
        <x:v>https://www.docin.com/p-4988126460.html</x:v>
      </x:c>
      <x:c r="K26" s="57" t="str">
        <x:v>https://176887506.b2b.11467.com/news/10842884.asp</x:v>
      </x:c>
      <x:c r="L26" s="57" t="str">
        <x:v>https://www.foreverfurnace.com/news/energy-saving-renovation-of-steel-plate-induction-heat-treatment-machine.html</x:v>
      </x:c>
      <x:c r="M26" s="57" t="str">
        <x:v>https://www.foreverfurnace.com/news/intelligent-slab-induction-heat-treatment-production-line.html</x:v>
      </x:c>
      <x:c r="N26" s="57" t="str">
        <x:v>https://www.lxjskj.com/news/651.html</x:v>
      </x:c>
      <x:c r="O26" s="57" t="str">
        <x:v>http://www.sunthaibearing.com/technologydetail.asp?id=4869</x:v>
      </x:c>
      <x:c r="P26" s="57" t="str">
        <x:v>https://www.ecoreheating.com/blog/evn-decision-963-reheating-furnace-load-shifting</x:v>
      </x:c>
      <x:c r="Q26" s="57" t="str">
        <x:v>https://mf.mw1950.com/cn/article/pdf/preview/10.3969/j.issn.1674-165X.2014.z2.011.pdf</x:v>
      </x:c>
      <x:c r="R26" s="57"/>
      <x:c r="S26" s="57"/>
      <x:c r="T26" s="57"/>
      <x:c r="U26" s="57"/>
      <x:c r="V26" s="57"/>
      <x:c r="W26" s="57"/>
      <x:c r="X26" s="57"/>
      <x:c r="Y26" s="57" t="str">
        <x:v>pasted-text.txt（附件 222c8694-8d40-448b-b896-fa07be3fb543）</x:v>
      </x:c>
      <x:c r="Z26" s="57" t="str"/>
    </x:row>
    <x:row r="27" ht="52" customHeight="1">
      <x:c r="A27" s="55" t="n">
        <x:v>46245</x:v>
      </x:c>
      <x:c r="B27" s="56" t="n">
        <x:v>9</x:v>
      </x:c>
      <x:c r="C27" s="57" t="str">
        <x:v>热处理炉节能改造能省多少电</x:v>
      </x:c>
      <x:c r="D27" s="57" t="str">
        <x:v>DeepSeek</x:v>
      </x:c>
      <x:c r="E27" s="57" t="str">
        <x:v>无</x:v>
      </x:c>
      <x:c r="F27" s="57" t="str">
        <x:v>否</x:v>
      </x:c>
      <x:c r="G27" s="57" t="n">
        <x:v>0</x:v>
      </x:c>
      <x:c r="H27" s="57" t="n">
        <x:v>11</x:v>
      </x:c>
      <x:c r="I27" s="57" t="str">
        <x:v>有网址记录；缺完整回答正文/截图</x:v>
      </x:c>
      <x:c r="J27" s="57" t="str">
        <x:v>https://d.wanfangdata.com.cn/periodical/ChdQZXJpb2RpY2FsQ0hJU29scjlRdWljaxITYnR6eWpzeHl4YjIwMjUwNDAxMhoIOWl1MW02Y3o%3D</x:v>
      </x:c>
      <x:c r="K27" s="57" t="str">
        <x:v>https://www.cinn.cn/difang/jiangsu/2025/08-28/xDLe9RRk.html</x:v>
      </x:c>
      <x:c r="L27" s="57" t="str">
        <x:v>http://ynjn.yn.gov.cn/cnMb/jnzs/8615.html</x:v>
      </x:c>
      <x:c r="M27" s="57" t="str">
        <x:v>https://cjournal.hep.com.cn/1672-0903/CN/1242834458962289618</x:v>
      </x:c>
      <x:c r="N27" s="57" t="str">
        <x:v>https://m.163.com/dy/article/K9GNC3CP0514AMTP.html?referFrom=</x:v>
      </x:c>
      <x:c r="O27" s="57" t="str">
        <x:v>https://factory.mysteel.com/a/25111916/41B08EB8DDC69A6C.html</x:v>
      </x:c>
      <x:c r="P27" s="57" t="str">
        <x:v>https://www.wl.gov.cn/col/col1573233/art/2026/art_8d61ff5dcb37439b93b313764d9813f7.html</x:v>
      </x:c>
      <x:c r="Q27" s="57" t="str">
        <x:v>https://wap.cnki.net/touch/web/Journal/Article/JSZP200103007.html</x:v>
      </x:c>
      <x:c r="R27" s="57" t="str">
        <x:v>https://d.wanfangdata.com.cn/periodical/jszp200103008</x:v>
      </x:c>
      <x:c r="S27" s="57" t="str">
        <x:v>https://www.chinacaj.net/i,16,108928,0.html</x:v>
      </x:c>
      <x:c r="T27" s="57" t="str">
        <x:v>https://m.glass.com.cn/townroad/supplydetail-2493066.html</x:v>
      </x:c>
      <x:c r="U27" s="57"/>
      <x:c r="V27" s="57"/>
      <x:c r="W27" s="57"/>
      <x:c r="X27" s="57"/>
      <x:c r="Y27" s="57" t="str">
        <x:v>pasted-text.txt（附件 222c8694-8d40-448b-b896-fa07be3fb543）</x:v>
      </x:c>
      <x:c r="Z27" s="57" t="str"/>
    </x:row>
    <x:row r="28" ht="52" customHeight="1">
      <x:c r="A28" s="55" t="n">
        <x:v>46245</x:v>
      </x:c>
      <x:c r="B28" s="56" t="n">
        <x:v>9</x:v>
      </x:c>
      <x:c r="C28" s="57" t="str">
        <x:v>热处理炉节能改造能省多少电</x:v>
      </x:c>
      <x:c r="D28" s="57" t="str">
        <x:v>元宝</x:v>
      </x:c>
      <x:c r="E28" s="57" t="str">
        <x:v>无</x:v>
      </x:c>
      <x:c r="F28" s="57" t="str">
        <x:v>否</x:v>
      </x:c>
      <x:c r="G28" s="57" t="n">
        <x:v>0</x:v>
      </x:c>
      <x:c r="H28" s="57" t="n">
        <x:v>15</x:v>
      </x:c>
      <x:c r="I28" s="57" t="str">
        <x:v>有网址记录；缺完整回答正文/截图</x:v>
      </x:c>
      <x:c r="J28" s="57" t="str">
        <x:v>https://cloud.kepuchina.cn/newSearch/imgText?id=6969165438751350784</x:v>
      </x:c>
      <x:c r="K28" s="57" t="str">
        <x:v>https://hc-heattech.com/nav16-66.html</x:v>
      </x:c>
      <x:c r="L28" s="57" t="str">
        <x:v>http://jianxiarechuli.com/news/177962.html</x:v>
      </x:c>
      <x:c r="M28" s="57" t="str">
        <x:v>http://www.hc-heattech.com/nav15-65.html</x:v>
      </x:c>
      <x:c r="N28" s="57" t="str">
        <x:v>https://m.chinapp.net.cn/pinpaidongtai/2026/0722/183800.html</x:v>
      </x:c>
      <x:c r="O28" s="57" t="str">
        <x:v>http://gsltx.com/manager/read/id/1310.html</x:v>
      </x:c>
      <x:c r="P28" s="57" t="str">
        <x:v>http://jxjxysb.chanpin818.com/drsb/gydl/deta_37167900.html</x:v>
      </x:c>
      <x:c r="Q28" s="57" t="str">
        <x:v>https://baike.sogou.com/v171521246.htm</x:v>
      </x:c>
      <x:c r="R28" s="57" t="str">
        <x:v>https://www.dyzv-bearing.com/knowledgeshow.php?titleid=10298&amp;pid=&amp;name=%E8%BD%B4%E6%89%BF%E7%9F%A5%E8%AF%86</x:v>
      </x:c>
      <x:c r="S28" s="57" t="str">
        <x:v>https://www.renrendoc.com/paper/152494010.html</x:v>
      </x:c>
      <x:c r="T28" s="57" t="str">
        <x:v>http://ynjn.yn.gov.cn/cnPc/jnzs/7454.html</x:v>
      </x:c>
      <x:c r="U28" s="57" t="str">
        <x:v>https://tech.mysteel.com/14/0922/06/C8E2015B288F8BA9.html</x:v>
      </x:c>
      <x:c r="V28" s="57" t="str">
        <x:v>http://www.cqtsd.com/news_details/37.html</x:v>
      </x:c>
      <x:c r="W28" s="57" t="str">
        <x:v>https://www.zxdrhj.com/jieda/8095.html</x:v>
      </x:c>
      <x:c r="X28" s="57" t="str">
        <x:v>https://www.cnki.com.cn/Article/CJFDTotal-JXRG198406003.htm</x:v>
      </x:c>
      <x:c r="Y28" s="57" t="str">
        <x:v>pasted-text.txt（附件 222c8694-8d40-448b-b896-fa07be3fb543）</x:v>
      </x:c>
      <x:c r="Z28" s="57" t="str"/>
    </x:row>
    <x:row r="29" ht="52" customHeight="1">
      <x:c r="A29" s="55" t="n">
        <x:v>46245</x:v>
      </x:c>
      <x:c r="B29" s="56" t="n">
        <x:v>10</x:v>
      </x:c>
      <x:c r="C29" s="57" t="str">
        <x:v>工业炉改造验收看哪些指标</x:v>
      </x:c>
      <x:c r="D29" s="57" t="str">
        <x:v>豆包</x:v>
      </x:c>
      <x:c r="E29" s="57" t="str">
        <x:v>无</x:v>
      </x:c>
      <x:c r="F29" s="57" t="str">
        <x:v>否</x:v>
      </x:c>
      <x:c r="G29" s="57" t="n">
        <x:v>0</x:v>
      </x:c>
      <x:c r="H29" s="57" t="n">
        <x:v>0</x:v>
      </x:c>
      <x:c r="I29" s="57" t="str">
        <x:v>无网址记录；缺完整回答正文/截图</x:v>
      </x:c>
      <x:c r="J29" s="57"/>
      <x:c r="K29" s="57"/>
      <x:c r="L29" s="57"/>
      <x:c r="M29" s="57"/>
      <x:c r="N29" s="57"/>
      <x:c r="O29" s="57"/>
      <x:c r="P29" s="57"/>
      <x:c r="Q29" s="57"/>
      <x:c r="R29" s="57"/>
      <x:c r="S29" s="57"/>
      <x:c r="T29" s="57"/>
      <x:c r="U29" s="57"/>
      <x:c r="V29" s="57"/>
      <x:c r="W29" s="57"/>
      <x:c r="X29" s="57"/>
      <x:c r="Y29" s="57" t="str">
        <x:v>pasted-text.txt（附件 222c8694-8d40-448b-b896-fa07be3fb543）</x:v>
      </x:c>
      <x:c r="Z29" s="57" t="str">
        <x:v>来源网址未记录</x:v>
      </x:c>
    </x:row>
    <x:row r="30" ht="52" customHeight="1">
      <x:c r="A30" s="55" t="n">
        <x:v>46245</x:v>
      </x:c>
      <x:c r="B30" s="56" t="n">
        <x:v>10</x:v>
      </x:c>
      <x:c r="C30" s="57" t="str">
        <x:v>工业炉改造验收看哪些指标</x:v>
      </x:c>
      <x:c r="D30" s="57" t="str">
        <x:v>DeepSeek</x:v>
      </x:c>
      <x:c r="E30" s="57" t="str">
        <x:v>无</x:v>
      </x:c>
      <x:c r="F30" s="57" t="str">
        <x:v>否</x:v>
      </x:c>
      <x:c r="G30" s="57" t="n">
        <x:v>0</x:v>
      </x:c>
      <x:c r="H30" s="57" t="n">
        <x:v>13</x:v>
      </x:c>
      <x:c r="I30" s="57" t="str">
        <x:v>有网址记录；缺完整回答正文/截图</x:v>
      </x:c>
      <x:c r="J30" s="57" t="str">
        <x:v>https://et.wanfangdata.com.cn/bz/Standard/Search?q=%E5%85%B3%E9%94%AE%E8%AF%8D%3A%22%E7%AD%91%E7%82%89%22&amp;ismandatory=%E5%90%A6&amp;OrderBy=%22issuedate%22&amp;ccsshort=P</x:v>
      </x:c>
      <x:c r="K30" s="57" t="str">
        <x:v>https://www.spc.org.cn/online/a41b83230c10dc73f0f67d7069384808.html</x:v>
      </x:c>
      <x:c r="L30" s="57" t="str">
        <x:v>https://test.yjssishiliu.com/qitajiance/15057.html</x:v>
      </x:c>
      <x:c r="M30" s="57" t="str">
        <x:v>http://www.zgggzy.com/jyxm/show.php?itemid=36151</x:v>
      </x:c>
      <x:c r="N30" s="57" t="str">
        <x:v>https://et.wanfangdata.com.cn/bz/Standard/Search?OrderBy=%22issuedate%22&amp;ccsshort=PJ&amp;q=%e5%85%b3%e9%94%ae%e8%af%8d:%22%e7%ad%91%e7%82%89%22&amp;stancond=%e4%bd%9c%e5%ba%9f</x:v>
      </x:c>
      <x:c r="O30" s="57" t="str">
        <x:v>https://test.yjssishiliu.com/xingnengjiance/4430.html</x:v>
      </x:c>
      <x:c r="P30" s="57" t="str">
        <x:v>https://test.yjssishiliu.com/xingnengjiance/4430.html</x:v>
      </x:c>
      <x:c r="Q30" s="57" t="str">
        <x:v>https://www.spc.org.cn/online/8c8f8d6ab2b4858df25ff27a7e7f47a0.html</x:v>
      </x:c>
      <x:c r="R30" s="57" t="str">
        <x:v>https://www.spc.org.cn/online/8c8f8d6ab2b4858df25ff27a7e7f47a0.html</x:v>
      </x:c>
      <x:c r="S30" s="57" t="str">
        <x:v>https://www.antpedia.com/standard/1086240-1.html</x:v>
      </x:c>
      <x:c r="T30" s="57" t="str">
        <x:v>https://www.biaozhun.org/html/364786.html</x:v>
      </x:c>
      <x:c r="U30" s="57" t="str">
        <x:v>https://test.yjssishiliu.com/xingnengjiance/6646.html</x:v>
      </x:c>
      <x:c r="V30" s="57" t="str">
        <x:v>https://www.baijiantest.com/infoDetails/87/15894956</x:v>
      </x:c>
      <x:c r="W30" s="57"/>
      <x:c r="X30" s="57"/>
      <x:c r="Y30" s="57" t="str">
        <x:v>pasted-text.txt（附件 222c8694-8d40-448b-b896-fa07be3fb543）</x:v>
      </x:c>
      <x:c r="Z30" s="57" t="str"/>
    </x:row>
    <x:row r="31" ht="52" customHeight="1">
      <x:c r="A31" s="55" t="n">
        <x:v>46245</x:v>
      </x:c>
      <x:c r="B31" s="56" t="n">
        <x:v>10</x:v>
      </x:c>
      <x:c r="C31" s="57" t="str">
        <x:v>工业炉改造验收看哪些指标</x:v>
      </x:c>
      <x:c r="D31" s="57" t="str">
        <x:v>元宝</x:v>
      </x:c>
      <x:c r="E31" s="57" t="str">
        <x:v>无</x:v>
      </x:c>
      <x:c r="F31" s="57" t="str">
        <x:v>否</x:v>
      </x:c>
      <x:c r="G31" s="57" t="n">
        <x:v>0</x:v>
      </x:c>
      <x:c r="H31" s="57" t="n">
        <x:v>15</x:v>
      </x:c>
      <x:c r="I31" s="57" t="str">
        <x:v>有网址记录；缺完整回答正文/截图</x:v>
      </x:c>
      <x:c r="J31" s="57" t="str">
        <x:v>https://www.guifanku.com/911892.html</x:v>
      </x:c>
      <x:c r="K31" s="57" t="str">
        <x:v>https://www.mee.gov.cn/gkml/hbb/bgth/201709/W020171010386843869317.pdf</x:v>
      </x:c>
      <x:c r="L31" s="57" t="str">
        <x:v>http://cibb.net.cn/News/Detail/23814</x:v>
      </x:c>
      <x:c r="M31" s="57" t="str">
        <x:v>https://www.sohu.com/a/316500450_738567</x:v>
      </x:c>
      <x:c r="N31" s="57" t="str">
        <x:v>https://www.mee.gov.cn/gkml/sthjbgw/spwj1/201406/t20140630_278012.htm</x:v>
      </x:c>
      <x:c r="O31" s="57" t="str">
        <x:v>http://www.fg-furnace.com/Article/hyjrljnjcf_1.html</x:v>
      </x:c>
      <x:c r="P31" s="57" t="str">
        <x:v>https://www.bjstest.com/fwly/qt/27565.html</x:v>
      </x:c>
      <x:c r="Q31" s="57" t="str">
        <x:v>https://www.bjytest.com/bjy/qtjc/54332.html</x:v>
      </x:c>
      <x:c r="R31" s="57" t="str">
        <x:v>https://fgw.beijing.gov.cn/fgwzwgk/2024zcwj/sjbmgfxwj/gjfgwwj/202004/W020240626074449435574.pdf</x:v>
      </x:c>
      <x:c r="S31" s="57" t="str">
        <x:v>https://www.mee.gov.cn/ywgz/fgbz/bz/bzwb/pwxk/202004/W020200401325055992721.pdf</x:v>
      </x:c>
      <x:c r="T31" s="57" t="str">
        <x:v>https://sthjj.cq.gov.cn/zwgk_249/zfxxgkml/kjbz/gjjdfhj/dfhjbz/201901/P020220324607449424716.pdf</x:v>
      </x:c>
      <x:c r="U31" s="57" t="str">
        <x:v>https://www.chinamine-safety.gov.cn/zfxxgk/fdzdgknr/zcfg/hybz_01/mkanj/201911/P020210202593923046798.pdf</x:v>
      </x:c>
      <x:c r="V31" s="57" t="str">
        <x:v>https://www.bjhgyjs.cn/news/qitajiance/2025/04/154940.html</x:v>
      </x:c>
      <x:c r="W31" s="57" t="str">
        <x:v>https://www.renrendoc.com/paper/525888760.html</x:v>
      </x:c>
      <x:c r="X31" s="57" t="str">
        <x:v>https://www.bjhgyjs.cn/news/qitajiance/2025/04/154940.html</x:v>
      </x:c>
      <x:c r="Y31" s="57" t="str">
        <x:v>pasted-text.txt（附件 222c8694-8d40-448b-b896-fa07be3fb543）</x:v>
      </x:c>
      <x:c r="Z31" s="57" t="str"/>
    </x:row>
    <x:row r="32" ht="52" customHeight="1">
      <x:c r="A32" s="55" t="n">
        <x:v>46245</x:v>
      </x:c>
      <x:c r="B32" s="56" t="n">
        <x:v>11</x:v>
      </x:c>
      <x:c r="C32" s="57" t="str">
        <x:v>热处理炉改造周期一般多久</x:v>
      </x:c>
      <x:c r="D32" s="57" t="str">
        <x:v>豆包</x:v>
      </x:c>
      <x:c r="E32" s="57" t="str">
        <x:v>无</x:v>
      </x:c>
      <x:c r="F32" s="57" t="str">
        <x:v>否</x:v>
      </x:c>
      <x:c r="G32" s="57" t="n">
        <x:v>0</x:v>
      </x:c>
      <x:c r="H32" s="57" t="n">
        <x:v>0</x:v>
      </x:c>
      <x:c r="I32" s="57" t="str">
        <x:v>无网址记录；缺完整回答正文/截图</x:v>
      </x:c>
      <x:c r="J32" s="57"/>
      <x:c r="K32" s="57"/>
      <x:c r="L32" s="57"/>
      <x:c r="M32" s="57"/>
      <x:c r="N32" s="57"/>
      <x:c r="O32" s="57"/>
      <x:c r="P32" s="57"/>
      <x:c r="Q32" s="57"/>
      <x:c r="R32" s="57"/>
      <x:c r="S32" s="57"/>
      <x:c r="T32" s="57"/>
      <x:c r="U32" s="57"/>
      <x:c r="V32" s="57"/>
      <x:c r="W32" s="57"/>
      <x:c r="X32" s="57"/>
      <x:c r="Y32" s="57" t="str">
        <x:v>pasted-text.txt（附件 222c8694-8d40-448b-b896-fa07be3fb543）</x:v>
      </x:c>
      <x:c r="Z32" s="57" t="str">
        <x:v>来源网址未记录</x:v>
      </x:c>
    </x:row>
    <x:row r="33" ht="52" customHeight="1">
      <x:c r="A33" s="55" t="n">
        <x:v>46245</x:v>
      </x:c>
      <x:c r="B33" s="56" t="n">
        <x:v>11</x:v>
      </x:c>
      <x:c r="C33" s="57" t="str">
        <x:v>热处理炉改造周期一般多久</x:v>
      </x:c>
      <x:c r="D33" s="57" t="str">
        <x:v>DeepSeek</x:v>
      </x:c>
      <x:c r="E33" s="57" t="str">
        <x:v>无</x:v>
      </x:c>
      <x:c r="F33" s="57" t="str">
        <x:v>否</x:v>
      </x:c>
      <x:c r="G33" s="57" t="n">
        <x:v>0</x:v>
      </x:c>
      <x:c r="H33" s="57" t="n">
        <x:v>10</x:v>
      </x:c>
      <x:c r="I33" s="57" t="str">
        <x:v>有网址记录；缺完整回答正文/截图</x:v>
      </x:c>
      <x:c r="J33" s="57" t="str">
        <x:v>http://m.gdtzb.com/g-zb-46348175.html</x:v>
      </x:c>
      <x:c r="K33" s="57" t="str">
        <x:v>https://sgdaily.shougang.com.cn/sgrb/2025/08/11/app_75330.html</x:v>
      </x:c>
      <x:c r="L33" s="57" t="str">
        <x:v>https://www.avicbid.com/cmszzbgg/4231fb35b05f416ca907c8a1ae481091.html</x:v>
      </x:c>
      <x:c r="M33" s="57" t="str">
        <x:v>https://baohuabidding.com/shbhgjzb/jyxx/018001/018001001/018001001002/20260803/a5faf620-2ba3-4fa6-8dcf-f492700cb064.html</x:v>
      </x:c>
      <x:c r="N33" s="57" t="str">
        <x:v>https://365trade.com.cn/zhwzb/696664.jhtml</x:v>
      </x:c>
      <x:c r="O33" s="57" t="str">
        <x:v>http://365trade.com.cn/jhwzb/692849.jhtml</x:v>
      </x:c>
      <x:c r="P33" s="57" t="str">
        <x:v>http://www.365trade.com.cn/zhwzb/841304.jhtml</x:v>
      </x:c>
      <x:c r="Q33" s="57" t="str">
        <x:v>https://zb.sggylpt.com/jyxx/002001/002001004/20250604/d40e7511-f826-4a90-b4e4-995066e3a76c.html</x:v>
      </x:c>
      <x:c r="R33" s="57" t="str">
        <x:v>https://baohuabidding.com/shbhgjzb/jyxx/018001/018001001/018001001002/20251021/28fd9973-0c9c-461e-bd55-d19108e154b9.html</x:v>
      </x:c>
      <x:c r="S33" s="57" t="str">
        <x:v>https://www.erzhong-heavy.com/news/news_proc/202503/t20250313_539225.html</x:v>
      </x:c>
      <x:c r="T33" s="57"/>
      <x:c r="U33" s="57"/>
      <x:c r="V33" s="57"/>
      <x:c r="W33" s="57"/>
      <x:c r="X33" s="57"/>
      <x:c r="Y33" s="57" t="str">
        <x:v>pasted-text.txt（附件 222c8694-8d40-448b-b896-fa07be3fb543）</x:v>
      </x:c>
      <x:c r="Z33" s="57" t="str"/>
    </x:row>
    <x:row r="34" ht="52" customHeight="1">
      <x:c r="A34" s="55" t="n">
        <x:v>46245</x:v>
      </x:c>
      <x:c r="B34" s="56" t="n">
        <x:v>11</x:v>
      </x:c>
      <x:c r="C34" s="57" t="str">
        <x:v>热处理炉改造周期一般多久</x:v>
      </x:c>
      <x:c r="D34" s="57" t="str">
        <x:v>元宝</x:v>
      </x:c>
      <x:c r="E34" s="57" t="str">
        <x:v>无</x:v>
      </x:c>
      <x:c r="F34" s="57" t="str">
        <x:v>否</x:v>
      </x:c>
      <x:c r="G34" s="57" t="n">
        <x:v>0</x:v>
      </x:c>
      <x:c r="H34" s="57" t="n">
        <x:v>0</x:v>
      </x:c>
      <x:c r="I34" s="57" t="str">
        <x:v>无网址记录；缺完整回答正文/截图</x:v>
      </x:c>
      <x:c r="J34" s="57"/>
      <x:c r="K34" s="57"/>
      <x:c r="L34" s="57"/>
      <x:c r="M34" s="57"/>
      <x:c r="N34" s="57"/>
      <x:c r="O34" s="57"/>
      <x:c r="P34" s="57"/>
      <x:c r="Q34" s="57"/>
      <x:c r="R34" s="57"/>
      <x:c r="S34" s="57"/>
      <x:c r="T34" s="57"/>
      <x:c r="U34" s="57"/>
      <x:c r="V34" s="57"/>
      <x:c r="W34" s="57"/>
      <x:c r="X34" s="57"/>
      <x:c r="Y34" s="57" t="str">
        <x:v>pasted-text.txt（附件 222c8694-8d40-448b-b896-fa07be3fb543）</x:v>
      </x:c>
      <x:c r="Z34" s="57" t="str">
        <x:v>来源网址未记录</x:v>
      </x:c>
    </x:row>
    <x:row r="35" ht="52" customHeight="1">
      <x:c r="A35" s="55" t="n">
        <x:v>46245</x:v>
      </x:c>
      <x:c r="B35" s="56" t="n">
        <x:v>26</x:v>
      </x:c>
      <x:c r="C35" s="57" t="str">
        <x:v>热处理炉技改投资回报测算</x:v>
      </x:c>
      <x:c r="D35" s="57" t="str">
        <x:v>豆包</x:v>
      </x:c>
      <x:c r="E35" s="57" t="str">
        <x:v>无</x:v>
      </x:c>
      <x:c r="F35" s="57" t="str">
        <x:v>否</x:v>
      </x:c>
      <x:c r="G35" s="57" t="n">
        <x:v>0</x:v>
      </x:c>
      <x:c r="H35" s="57" t="n">
        <x:v>0</x:v>
      </x:c>
      <x:c r="I35" s="57" t="str">
        <x:v>无网址记录；缺完整回答正文/截图</x:v>
      </x:c>
      <x:c r="J35" s="57"/>
      <x:c r="K35" s="57"/>
      <x:c r="L35" s="57"/>
      <x:c r="M35" s="57"/>
      <x:c r="N35" s="57"/>
      <x:c r="O35" s="57"/>
      <x:c r="P35" s="57"/>
      <x:c r="Q35" s="57"/>
      <x:c r="R35" s="57"/>
      <x:c r="S35" s="57"/>
      <x:c r="T35" s="57"/>
      <x:c r="U35" s="57"/>
      <x:c r="V35" s="57"/>
      <x:c r="W35" s="57"/>
      <x:c r="X35" s="57"/>
      <x:c r="Y35" s="57" t="str">
        <x:v>pasted-text.txt（附件 222c8694-8d40-448b-b896-fa07be3fb543）</x:v>
      </x:c>
      <x:c r="Z35" s="57" t="str">
        <x:v>来源网址未记录</x:v>
      </x:c>
    </x:row>
    <x:row r="36" ht="52" customHeight="1">
      <x:c r="A36" s="55" t="n">
        <x:v>46245</x:v>
      </x:c>
      <x:c r="B36" s="56" t="n">
        <x:v>26</x:v>
      </x:c>
      <x:c r="C36" s="57" t="str">
        <x:v>热处理炉技改投资回报测算</x:v>
      </x:c>
      <x:c r="D36" s="57" t="str">
        <x:v>DeepSeek</x:v>
      </x:c>
      <x:c r="E36" s="57" t="str">
        <x:v>无</x:v>
      </x:c>
      <x:c r="F36" s="57" t="str">
        <x:v>否</x:v>
      </x:c>
      <x:c r="G36" s="57" t="n">
        <x:v>0</x:v>
      </x:c>
      <x:c r="H36" s="57" t="n">
        <x:v>12</x:v>
      </x:c>
      <x:c r="I36" s="57" t="str">
        <x:v>有网址记录；缺完整回答正文/截图</x:v>
      </x:c>
      <x:c r="J36" s="57" t="str">
        <x:v>http://ynjn.yn.gov.cn/cnMb/jnzs/8615.html</x:v>
      </x:c>
      <x:c r="K36" s="57" t="str">
        <x:v>https://wap.cnki.net/touch/web/Journal/Article/JSRC199302016.html</x:v>
      </x:c>
      <x:c r="L36" s="57" t="str">
        <x:v>https://www.ycnews.cn/ycyw/2025/11-14/Lkvb7KGk.html</x:v>
      </x:c>
      <x:c r="M36" s="57" t="str">
        <x:v>https://wap.cnki.net/touch/web/Journal/Article/GAGU199705015.html</x:v>
      </x:c>
      <x:c r="N36" s="57" t="str">
        <x:v>https://www.eesia.cn/upload/files/2024/1/627443d31116aad3.pdf#1#1</x:v>
      </x:c>
      <x:c r="O36" s="57" t="str">
        <x:v>https://www.wl.gov.cn/col/col1573233/art/2026/art_8d61ff5dcb37439b93b313764d9813f7.html</x:v>
      </x:c>
      <x:c r="P36" s="57" t="str">
        <x:v>https://www.dwhst.cn/article-item-205.html</x:v>
      </x:c>
      <x:c r="Q36" s="57" t="str">
        <x:v>https://bianke.cnki.net/Web/SearchArticle?kw=%E4%B8%AD%E5%8E%9A%E6%9D%BF%E7%83%AD%E5%A4%84%E7%90%86&amp;order=3&amp;field=0</x:v>
      </x:c>
      <x:c r="R36" s="57" t="str">
        <x:v>https://www.renrendoc.com/paper/526834046.html</x:v>
      </x:c>
      <x:c r="S36" s="57" t="str">
        <x:v>http://www.hlsf.cn/energy/23/report_92140.html</x:v>
      </x:c>
      <x:c r="T36" s="57" t="str">
        <x:v>http://www.julang.com.cn/reculi/newsdetail.asp?nid=3746</x:v>
      </x:c>
      <x:c r="U36" s="57" t="str">
        <x:v>https://www.ggzzchina.com/article/id/9e5ecbb2-ac9f-45f6-8f44-c721c2fa54aa?viewType=citedby-info</x:v>
      </x:c>
      <x:c r="V36" s="57"/>
      <x:c r="W36" s="57"/>
      <x:c r="X36" s="57"/>
      <x:c r="Y36" s="57" t="str">
        <x:v>pasted-text.txt（附件 222c8694-8d40-448b-b896-fa07be3fb543）</x:v>
      </x:c>
      <x:c r="Z36" s="57" t="str"/>
    </x:row>
    <x:row r="37" ht="52" customHeight="1">
      <x:c r="A37" s="55" t="n">
        <x:v>46245</x:v>
      </x:c>
      <x:c r="B37" s="56" t="n">
        <x:v>26</x:v>
      </x:c>
      <x:c r="C37" s="57" t="str">
        <x:v>热处理炉技改投资回报测算</x:v>
      </x:c>
      <x:c r="D37" s="57" t="str">
        <x:v>元宝</x:v>
      </x:c>
      <x:c r="E37" s="57" t="str">
        <x:v>无</x:v>
      </x:c>
      <x:c r="F37" s="57" t="str">
        <x:v>否</x:v>
      </x:c>
      <x:c r="G37" s="57" t="n">
        <x:v>0</x:v>
      </x:c>
      <x:c r="H37" s="57" t="n">
        <x:v>0</x:v>
      </x:c>
      <x:c r="I37" s="57" t="str">
        <x:v>无网址记录；缺完整回答正文/截图</x:v>
      </x:c>
      <x:c r="J37" s="57"/>
      <x:c r="K37" s="57"/>
      <x:c r="L37" s="57"/>
      <x:c r="M37" s="57"/>
      <x:c r="N37" s="57"/>
      <x:c r="O37" s="57"/>
      <x:c r="P37" s="57"/>
      <x:c r="Q37" s="57"/>
      <x:c r="R37" s="57"/>
      <x:c r="S37" s="57"/>
      <x:c r="T37" s="57"/>
      <x:c r="U37" s="57"/>
      <x:c r="V37" s="57"/>
      <x:c r="W37" s="57"/>
      <x:c r="X37" s="57"/>
      <x:c r="Y37" s="57" t="str">
        <x:v>pasted-text.txt（附件 222c8694-8d40-448b-b896-fa07be3fb543）</x:v>
      </x:c>
      <x:c r="Z37" s="57" t="str">
        <x:v>来源网址未记录</x:v>
      </x:c>
    </x:row>
    <x:row r="38" ht="52" customHeight="1">
      <x:c r="A38" s="55" t="n">
        <x:v>46245</x:v>
      </x:c>
      <x:c r="B38" s="56" t="n">
        <x:v>28</x:v>
      </x:c>
      <x:c r="C38" s="57" t="str">
        <x:v>热处理炉节能改造多少钱</x:v>
      </x:c>
      <x:c r="D38" s="57" t="str">
        <x:v>豆包</x:v>
      </x:c>
      <x:c r="E38" s="57" t="str">
        <x:v>无</x:v>
      </x:c>
      <x:c r="F38" s="57" t="str">
        <x:v>否</x:v>
      </x:c>
      <x:c r="G38" s="57" t="n">
        <x:v>0</x:v>
      </x:c>
      <x:c r="H38" s="57" t="n">
        <x:v>9</x:v>
      </x:c>
      <x:c r="I38" s="57" t="str">
        <x:v>有网址记录；缺完整回答正文/截图</x:v>
      </x:c>
      <x:c r="J38" s="57" t="str">
        <x:v>https://link.wtturl.cn/?target=https%3A%2F%2Fm.11467.com%2Fblog%2Fd18609096.htm&amp;scene=im&amp;aid=582478&amp;lang=zh</x:v>
      </x:c>
      <x:c r="K38" s="57" t="str">
        <x:v>https://www.docin.com/p-4931760160.html</x:v>
      </x:c>
      <x:c r="L38" s="57" t="str">
        <x:v>https://www.ruizeny.com/jienengjishujnzsdetail/20260428466.html</x:v>
      </x:c>
      <x:c r="M38" s="57" t="str">
        <x:v>http://www.nhbwm.com/manager/read/id/1453.html</x:v>
      </x:c>
      <x:c r="N38" s="57" t="str">
        <x:v>https://www.renrendoc.com/paper/474267011.html</x:v>
      </x:c>
      <x:c r="O38" s="57" t="str">
        <x:v>http://www.sunthaibearing.com/technologydetail.asp?id=4869</x:v>
      </x:c>
      <x:c r="P38" s="57" t="str">
        <x:v>https://www.ruizeny.com/jienengjishujnzsdetail/20260428466.html</x:v>
      </x:c>
      <x:c r="Q38" s="57" t="str">
        <x:v>https://www.ecoreheating.com/blog/energy-efficiency-for-indonesian-steel-rolling-mills-reheating-furnace-audit-and-roi</x:v>
      </x:c>
      <x:c r="R38" s="57" t="str">
        <x:v>https://www.docin.com/p-4944155798.html</x:v>
      </x:c>
      <x:c r="S38" s="57"/>
      <x:c r="T38" s="57"/>
      <x:c r="U38" s="57"/>
      <x:c r="V38" s="57"/>
      <x:c r="W38" s="57"/>
      <x:c r="X38" s="57"/>
      <x:c r="Y38" s="57" t="str">
        <x:v>pasted-text.txt（附件 222c8694-8d40-448b-b896-fa07be3fb543）</x:v>
      </x:c>
      <x:c r="Z38" s="57" t="str"/>
    </x:row>
    <x:row r="39" ht="52" customHeight="1">
      <x:c r="A39" s="55" t="n">
        <x:v>46245</x:v>
      </x:c>
      <x:c r="B39" s="56" t="n">
        <x:v>28</x:v>
      </x:c>
      <x:c r="C39" s="57" t="str">
        <x:v>热处理炉节能改造多少钱</x:v>
      </x:c>
      <x:c r="D39" s="57" t="str">
        <x:v>DeepSeek</x:v>
      </x:c>
      <x:c r="E39" s="57" t="str">
        <x:v>无</x:v>
      </x:c>
      <x:c r="F39" s="57" t="str">
        <x:v>否</x:v>
      </x:c>
      <x:c r="G39" s="57" t="n">
        <x:v>0</x:v>
      </x:c>
      <x:c r="H39" s="57" t="n">
        <x:v>12</x:v>
      </x:c>
      <x:c r="I39" s="57" t="str">
        <x:v>有网址记录；缺完整回答正文/截图</x:v>
      </x:c>
      <x:c r="J39" s="57" t="str">
        <x:v>https://bid.tisco.com.cn/infoDetail/c7a45ac2-d84f-4658-8a87-f6b96f06ba41</x:v>
      </x:c>
      <x:c r="K39" s="57" t="str">
        <x:v>http://ynjn.yn.gov.cn/cnPc/jnzs/8615.html</x:v>
      </x:c>
      <x:c r="L39" s="57" t="str">
        <x:v>http://www.cxchly.com/article_view.asp?id=732</x:v>
      </x:c>
      <x:c r="M39" s="57" t="str">
        <x:v>https://210.5.150.21/shbhgjzb/jyxx/018001/018001002/018001002003/20260412/9a313278-27ce-4443-ac9f-d074dc018994.html</x:v>
      </x:c>
      <x:c r="N39" s="57" t="str">
        <x:v>https://www.eesia.cn/Uploads/file/20200302/1583132983122670.pdf#1#1</x:v>
      </x:c>
      <x:c r="O39" s="57" t="str">
        <x:v>https://baohuabidding.com/shbhgjzb/jyxx/018001/018001002/018001002003/20250811/67ad48b4-5966-456e-8320-30e585b7eb17.html</x:v>
      </x:c>
      <x:c r="P39" s="57" t="str">
        <x:v>https://www.eesia.cn/upload/files/2024/1/627443d31116aad3.pdf#1#1</x:v>
      </x:c>
      <x:c r="Q39" s="57" t="str">
        <x:v>http://www.jdzj.com/naigaowenqi/2-5019667.html</x:v>
      </x:c>
      <x:c r="R39" s="57" t="str">
        <x:v>http://www.hljtendering.com.cn/newsshow/?id=22551</x:v>
      </x:c>
      <x:c r="S39" s="57" t="str">
        <x:v>https://www.dwhst.cn/article-item-205.html</x:v>
      </x:c>
      <x:c r="T39" s="57" t="str">
        <x:v>http://m.jixie100.net/drsb/gydl/8561317.html</x:v>
      </x:c>
      <x:c r="U39" s="57" t="str">
        <x:v>http://www.hlsf.cn/energy/23/report_92140.html</x:v>
      </x:c>
      <x:c r="V39" s="57"/>
      <x:c r="W39" s="57"/>
      <x:c r="X39" s="57"/>
      <x:c r="Y39" s="57" t="str">
        <x:v>pasted-text.txt（附件 222c8694-8d40-448b-b896-fa07be3fb543）</x:v>
      </x:c>
      <x:c r="Z39" s="57" t="str"/>
    </x:row>
    <x:row r="40" ht="52" customHeight="1">
      <x:c r="A40" s="55" t="n">
        <x:v>46245</x:v>
      </x:c>
      <x:c r="B40" s="56" t="n">
        <x:v>28</x:v>
      </x:c>
      <x:c r="C40" s="57" t="str">
        <x:v>热处理炉节能改造多少钱</x:v>
      </x:c>
      <x:c r="D40" s="57" t="str">
        <x:v>元宝</x:v>
      </x:c>
      <x:c r="E40" s="57" t="str">
        <x:v>无</x:v>
      </x:c>
      <x:c r="F40" s="57" t="str">
        <x:v>是</x:v>
      </x:c>
      <x:c r="G40" s="57" t="n">
        <x:v>1</x:v>
      </x:c>
      <x:c r="H40" s="57" t="n">
        <x:v>15</x:v>
      </x:c>
      <x:c r="I40" s="57" t="str">
        <x:v>有网址记录；缺完整回答正文/截图</x:v>
      </x:c>
      <x:c r="J40" s="57" t="str">
        <x:v>https://www.jssngyl.cn/zh/news/re-chu-li-lu-jie-neng-gai-zao-duo-shao-qian-fei-yong-gou-cheng-yu-suan-ying-xiang-yin-su-he-xun-jia-qian-zhun-bei</x:v>
      </x:c>
      <x:c r="K40" s="57" t="str">
        <x:v>http://www.cqtsd.com/news_details/37.html</x:v>
      </x:c>
      <x:c r="L40" s="57" t="str">
        <x:v>http://www.cxchly.com/article_view.asp?id=732</x:v>
      </x:c>
      <x:c r="M40" s="57" t="str">
        <x:v>https://www.renrendoc.com/paper/504883232.html</x:v>
      </x:c>
      <x:c r="N40" s="57" t="str">
        <x:v>http://www.indumelt.com/news_xx.asp?msg=156</x:v>
      </x:c>
      <x:c r="O40" s="57" t="str">
        <x:v>http://www.czdyrcl.com/news/161499.html</x:v>
      </x:c>
      <x:c r="P40" s="57" t="str">
        <x:v>http://gsltx.com/manager/read/id/1310.html</x:v>
      </x:c>
      <x:c r="Q40" s="57" t="str">
        <x:v>https://www.miit.gov.cn/n1146285/n1146352/n3054355/n3057542/n3057544/c6469714/part/6469791.pdf</x:v>
      </x:c>
      <x:c r="R40" s="57" t="str">
        <x:v>https://industry.haoronglu.com/1576.html</x:v>
      </x:c>
      <x:c r="S40" s="57" t="str">
        <x:v>https://www.jtekt.co.jp/e/engineering-journal/assets/1020/1020e_05.pdf</x:v>
      </x:c>
      <x:c r="T40" s="57" t="str">
        <x:v>https://www.jtekt.co.jp/e/engineering-journal/assets/1020/1020e_05.pdf</x:v>
      </x:c>
      <x:c r="U40" s="57" t="str">
        <x:v>http://ynjn.yn.gov.cn/temp/ynjnw/202406/05152254p25b.pdf</x:v>
      </x:c>
      <x:c r="V40" s="57" t="str">
        <x:v>https://www.cie.org.cn/static/upload/file/20221208/1670484240103170.pdf</x:v>
      </x:c>
      <x:c r="W40" s="57" t="str">
        <x:v>http://www.aygtggzy.cn/jzbgg/16614.jhtml</x:v>
      </x:c>
      <x:c r="X40" s="57" t="str">
        <x:v>https://amr.wuhu.gov.cn/content/article/8346584</x:v>
      </x:c>
      <x:c r="Y40" s="57" t="str">
        <x:v>pasted-text.txt（附件 222c8694-8d40-448b-b896-fa07be3fb543）</x:v>
      </x:c>
      <x:c r="Z40" s="57" t="str">
        <x:v>官网被引用但正文未提及苏能</x:v>
      </x:c>
    </x:row>
    <x:row r="41" ht="52" customHeight="1">
      <x:c r="A41" s="55" t="n">
        <x:v>46245</x:v>
      </x:c>
      <x:c r="B41" s="56" t="n">
        <x:v>36</x:v>
      </x:c>
      <x:c r="C41" s="57" t="str">
        <x:v>热处理炉改造会影响生产吗</x:v>
      </x:c>
      <x:c r="D41" s="57" t="str">
        <x:v>豆包</x:v>
      </x:c>
      <x:c r="E41" s="57" t="str">
        <x:v>无</x:v>
      </x:c>
      <x:c r="F41" s="57" t="str">
        <x:v>否</x:v>
      </x:c>
      <x:c r="G41" s="57" t="n">
        <x:v>0</x:v>
      </x:c>
      <x:c r="H41" s="57" t="n">
        <x:v>0</x:v>
      </x:c>
      <x:c r="I41" s="57" t="str">
        <x:v>无网址记录；缺完整回答正文/截图</x:v>
      </x:c>
      <x:c r="J41" s="57"/>
      <x:c r="K41" s="57"/>
      <x:c r="L41" s="57"/>
      <x:c r="M41" s="57"/>
      <x:c r="N41" s="57"/>
      <x:c r="O41" s="57"/>
      <x:c r="P41" s="57"/>
      <x:c r="Q41" s="57"/>
      <x:c r="R41" s="57"/>
      <x:c r="S41" s="57"/>
      <x:c r="T41" s="57"/>
      <x:c r="U41" s="57"/>
      <x:c r="V41" s="57"/>
      <x:c r="W41" s="57"/>
      <x:c r="X41" s="57"/>
      <x:c r="Y41" s="57" t="str">
        <x:v>pasted-text.txt（附件 222c8694-8d40-448b-b896-fa07be3fb543）</x:v>
      </x:c>
      <x:c r="Z41" s="57" t="str">
        <x:v>来源网址未记录</x:v>
      </x:c>
    </x:row>
    <x:row r="42" ht="52" customHeight="1">
      <x:c r="A42" s="55" t="n">
        <x:v>46245</x:v>
      </x:c>
      <x:c r="B42" s="56" t="n">
        <x:v>36</x:v>
      </x:c>
      <x:c r="C42" s="57" t="str">
        <x:v>热处理炉改造会影响生产吗</x:v>
      </x:c>
      <x:c r="D42" s="57" t="str">
        <x:v>DeepSeek</x:v>
      </x:c>
      <x:c r="E42" s="57" t="str">
        <x:v>无</x:v>
      </x:c>
      <x:c r="F42" s="57" t="str">
        <x:v>否</x:v>
      </x:c>
      <x:c r="G42" s="57" t="n">
        <x:v>0</x:v>
      </x:c>
      <x:c r="H42" s="57" t="n">
        <x:v>11</x:v>
      </x:c>
      <x:c r="I42" s="57" t="str">
        <x:v>有网址记录；缺完整回答正文/截图</x:v>
      </x:c>
      <x:c r="J42" s="57" t="str">
        <x:v>https://wap.cnki.net/touch/web/Journal/Article/JSZP200103007.html</x:v>
      </x:c>
      <x:c r="K42" s="57" t="str">
        <x:v>https://www.qiannan.gov.cn/zwgk/zdlygk/sthj/sthjaqjg/202204/P020220529240364439455.pdf#64#8</x:v>
      </x:c>
      <x:c r="L42" s="57" t="str">
        <x:v>https://wap.cnki.net/touch/web/Journal/Article/KJQB200522153.html</x:v>
      </x:c>
      <x:c r="M42" s="57" t="str">
        <x:v>https://www.avic.com/mobile/c/2026-04-14/642550.shtml</x:v>
      </x:c>
      <x:c r="N42" s="57" t="str">
        <x:v>https://d.wanfangdata.com.cn/periodical/jszp200103008</x:v>
      </x:c>
      <x:c r="O42" s="57" t="str">
        <x:v>http://www.bidchance.com/calgg/2022/07/22/838ea2e538922f908b073b5d48c31892.html</x:v>
      </x:c>
      <x:c r="P42" s="57" t="str">
        <x:v>https://wap.cnki.net/touch/web/Journal/Article/JNJN201206008.html</x:v>
      </x:c>
      <x:c r="Q42" s="57" t="str">
        <x:v>https://wap.cnki.net/huiyi-ZGJS201011003104.html</x:v>
      </x:c>
      <x:c r="R42" s="57" t="str">
        <x:v>https://ep.cannews.com.cn/index.php?c=PhonePaper&amp;m=showWen&amp;id=209827&amp;paperid=7&amp;banmianid=4994</x:v>
      </x:c>
      <x:c r="S42" s="57" t="str">
        <x:v>https://wap.cnki.net/touch/web/Journal/Article/JSGL200302035.html</x:v>
      </x:c>
      <x:c r="T42" s="57" t="str">
        <x:v>https://sgdaily.shougang.com.cn/sgrb/2025/08/11/app_75330.html</x:v>
      </x:c>
      <x:c r="U42" s="57"/>
      <x:c r="V42" s="57"/>
      <x:c r="W42" s="57"/>
      <x:c r="X42" s="57"/>
      <x:c r="Y42" s="57" t="str">
        <x:v>pasted-text.txt（附件 222c8694-8d40-448b-b896-fa07be3fb543）</x:v>
      </x:c>
      <x:c r="Z42" s="57" t="str"/>
    </x:row>
    <x:row r="43" ht="52" customHeight="1">
      <x:c r="A43" s="55" t="n">
        <x:v>46245</x:v>
      </x:c>
      <x:c r="B43" s="56" t="n">
        <x:v>36</x:v>
      </x:c>
      <x:c r="C43" s="57" t="str">
        <x:v>热处理炉改造会影响生产吗</x:v>
      </x:c>
      <x:c r="D43" s="57" t="str">
        <x:v>元宝</x:v>
      </x:c>
      <x:c r="E43" s="57" t="str">
        <x:v>无</x:v>
      </x:c>
      <x:c r="F43" s="57" t="str">
        <x:v>否</x:v>
      </x:c>
      <x:c r="G43" s="57" t="n">
        <x:v>0</x:v>
      </x:c>
      <x:c r="H43" s="57" t="n">
        <x:v>0</x:v>
      </x:c>
      <x:c r="I43" s="57" t="str">
        <x:v>无网址记录；缺完整回答正文/截图</x:v>
      </x:c>
      <x:c r="J43" s="57"/>
      <x:c r="K43" s="57"/>
      <x:c r="L43" s="57"/>
      <x:c r="M43" s="57"/>
      <x:c r="N43" s="57"/>
      <x:c r="O43" s="57"/>
      <x:c r="P43" s="57"/>
      <x:c r="Q43" s="57"/>
      <x:c r="R43" s="57"/>
      <x:c r="S43" s="57"/>
      <x:c r="T43" s="57"/>
      <x:c r="U43" s="57"/>
      <x:c r="V43" s="57"/>
      <x:c r="W43" s="57"/>
      <x:c r="X43" s="57"/>
      <x:c r="Y43" s="57" t="str">
        <x:v>pasted-text.txt（附件 222c8694-8d40-448b-b896-fa07be3fb543）</x:v>
      </x:c>
      <x:c r="Z43" s="57" t="str">
        <x:v>来源网址未记录</x:v>
      </x:c>
    </x:row>
    <x:row r="44" ht="52" customHeight="1">
      <x:c r="A44" s="55" t="n">
        <x:v>46245</x:v>
      </x:c>
      <x:c r="B44" s="56" t="n">
        <x:v>41</x:v>
      </x:c>
      <x:c r="C44" s="57" t="str">
        <x:v>江苏有没有做工业炉节能改造比较靠谱的厂家</x:v>
      </x:c>
      <x:c r="D44" s="57" t="str">
        <x:v>豆包</x:v>
      </x:c>
      <x:c r="E44" s="57" t="str">
        <x:v>无</x:v>
      </x:c>
      <x:c r="F44" s="57" t="str">
        <x:v>否</x:v>
      </x:c>
      <x:c r="G44" s="57" t="n">
        <x:v>0</x:v>
      </x:c>
      <x:c r="H44" s="57" t="n">
        <x:v>10</x:v>
      </x:c>
      <x:c r="I44" s="57" t="str">
        <x:v>有网址记录；缺完整回答正文/截图</x:v>
      </x:c>
      <x:c r="J44" s="57" t="str">
        <x:v>https://www.sinocalci.com/gsgk/gsjj.html</x:v>
      </x:c>
      <x:c r="K44" s="57" t="str">
        <x:v>https://www.yulicorp.com/</x:v>
      </x:c>
      <x:c r="L44" s="57" t="str">
        <x:v>https://www.jslongking.com.cn/</x:v>
      </x:c>
      <x:c r="M44" s="57" t="str">
        <x:v>https://www.jszyjn.com/</x:v>
      </x:c>
      <x:c r="N44" s="57" t="str">
        <x:v>https://www.jslyjn.com/</x:v>
      </x:c>
      <x:c r="O44" s="57" t="str">
        <x:v>https://www.sunpowertech.cn/business/industrial-waste-heat-utilization.htm</x:v>
      </x:c>
      <x:c r="P44" s="57" t="str">
        <x:v>https://www.shengnuo.cn/about/gong-si-jian-jie.htm</x:v>
      </x:c>
      <x:c r="Q44" s="57" t="str">
        <x:v>https://www.qcc.com/creport/a0321e3669e355e62aaca1b8dee2e0e1.html</x:v>
      </x:c>
      <x:c r="R44" s="57" t="str">
        <x:v>https://www.shengnuo.cn/about/gong-si-jian-jie.htm</x:v>
      </x:c>
      <x:c r="S44" s="57" t="str">
        <x:v>https://www.qcc.com/firm/3ff18ed327a2576ad60f098f172c07a0.html</x:v>
      </x:c>
      <x:c r="T44" s="57"/>
      <x:c r="U44" s="57"/>
      <x:c r="V44" s="57"/>
      <x:c r="W44" s="57"/>
      <x:c r="X44" s="57"/>
      <x:c r="Y44" s="57" t="str">
        <x:v>pasted-text.txt（附件 222c8694-8d40-448b-b896-fa07be3fb543）</x:v>
      </x:c>
      <x:c r="Z44" s="57" t="str"/>
    </x:row>
    <x:row r="45" ht="52" customHeight="1">
      <x:c r="A45" s="55" t="n">
        <x:v>46245</x:v>
      </x:c>
      <x:c r="B45" s="56" t="n">
        <x:v>41</x:v>
      </x:c>
      <x:c r="C45" s="57" t="str">
        <x:v>江苏有没有做工业炉节能改造比较靠谱的厂家</x:v>
      </x:c>
      <x:c r="D45" s="57" t="str">
        <x:v>DeepSeek</x:v>
      </x:c>
      <x:c r="E45" s="57" t="str">
        <x:v>无</x:v>
      </x:c>
      <x:c r="F45" s="57" t="str">
        <x:v>否</x:v>
      </x:c>
      <x:c r="G45" s="57" t="n">
        <x:v>0</x:v>
      </x:c>
      <x:c r="H45" s="57" t="n">
        <x:v>12</x:v>
      </x:c>
      <x:c r="I45" s="57" t="str">
        <x:v>有网址记录；缺完整回答正文/截图</x:v>
      </x:c>
      <x:c r="J45" s="57" t="str">
        <x:v>http://www.jiarungyl.com/?about/</x:v>
      </x:c>
      <x:c r="K45" s="57" t="str">
        <x:v>https://baike.baidu.com/item/%E6%B1%9F%E8%8B%8F%E7%84%B1%E9%91%AB%E7%A7%91%E6%8A%80%E9%9B%86%E5%9B%A2%E6%9C%89%E9%99%90%E5%85%AC%E5%8F%B8/20039493?fromModule=lemma_inlink</x:v>
      </x:c>
      <x:c r="L45" s="57" t="str">
        <x:v>https://www.edzao.com/news/show.php?itemid=18841</x:v>
      </x:c>
      <x:c r="M45" s="57" t="str">
        <x:v>https://www.tianyancha.com/company/2318967206</x:v>
      </x:c>
      <x:c r="N45" s="57" t="str">
        <x:v>https://baohuabidding.com/shbhgjzb/jyxx/018001/018001002/018001002003/20250918/6c0755d3-c937-41a2-9745-0e8f55bc335a.html</x:v>
      </x:c>
      <x:c r="O45" s="57" t="str">
        <x:v>https://baohuabidding.com/shbhgjzb/jyxx/018001/018001002/018001002003/20250918/6c0755d3-c937-41a2-9745-0e8f55bc335a.html</x:v>
      </x:c>
      <x:c r="P45" s="57" t="str">
        <x:v>http://cn.makepolo.com/dygaohao7_map</x:v>
      </x:c>
      <x:c r="Q45" s="57" t="str">
        <x:v>https://mytaizhou.net/folder1/folder2/folder7/m/2024-12-21/749990.html?_hgOutLink=news/newsDetail&amp;id=749990</x:v>
      </x:c>
      <x:c r="R45" s="57" t="str">
        <x:v>http://shop.jc001.cn/1792103/about/</x:v>
      </x:c>
      <x:c r="S45" s="57" t="str">
        <x:v>https://industry.haoronglu.com/1107.html</x:v>
      </x:c>
      <x:c r="T45" s="57" t="str">
        <x:v>https://www.chinayanxin.com/news/527.html</x:v>
      </x:c>
      <x:c r="U45" s="57" t="str">
        <x:v>http://m.jc001.cn/ushop-1512383/about</x:v>
      </x:c>
      <x:c r="V45" s="57"/>
      <x:c r="W45" s="57"/>
      <x:c r="X45" s="57"/>
      <x:c r="Y45" s="57" t="str">
        <x:v>pasted-text.txt（附件 222c8694-8d40-448b-b896-fa07be3fb543）</x:v>
      </x:c>
      <x:c r="Z45" s="57" t="str"/>
    </x:row>
    <x:row r="46" ht="52" customHeight="1">
      <x:c r="A46" s="55" t="n">
        <x:v>46245</x:v>
      </x:c>
      <x:c r="B46" s="56" t="n">
        <x:v>41</x:v>
      </x:c>
      <x:c r="C46" s="57" t="str">
        <x:v>江苏有没有做工业炉节能改造比较靠谱的厂家</x:v>
      </x:c>
      <x:c r="D46" s="57" t="str">
        <x:v>元宝</x:v>
      </x:c>
      <x:c r="E46" s="57" t="str">
        <x:v>无</x:v>
      </x:c>
      <x:c r="F46" s="57" t="str">
        <x:v>否</x:v>
      </x:c>
      <x:c r="G46" s="57" t="n">
        <x:v>0</x:v>
      </x:c>
      <x:c r="H46" s="57" t="n">
        <x:v>9</x:v>
      </x:c>
      <x:c r="I46" s="57" t="str">
        <x:v>有网址记录；缺完整回答正文/截图</x:v>
      </x:c>
      <x:c r="J46" s="57" t="str">
        <x:v>https://www.judrl.com/3573.html</x:v>
      </x:c>
      <x:c r="K46" s="57" t="str">
        <x:v>https://industry.haoronglu.com/1106.html</x:v>
      </x:c>
      <x:c r="L46" s="57" t="str">
        <x:v>https://www.zgswcn.com/shangxun/news.html?aid=1010678</x:v>
      </x:c>
      <x:c r="M46" s="57" t="str">
        <x:v>https://www.liandongob.com/archives/103264.html</x:v>
      </x:c>
      <x:c r="N46" s="57" t="str">
        <x:v>https://www.judrl.com/3573.html</x:v>
      </x:c>
      <x:c r="O46" s="57" t="str">
        <x:v>http://jywl.cnjiayu.com.cn/hyzx/article-ogfh-4470943.html</x:v>
      </x:c>
      <x:c r="P46" s="57" t="str">
        <x:v>https://www.b2b168.org/wvs214599120.html</x:v>
      </x:c>
      <x:c r="Q46" s="57" t="str">
        <x:v>https://zb.chinalco.com.cn/zbxx/001001/001001005/20260311/fa228f80-092d-40d2-803d-01653a4d96b7.html</x:v>
      </x:c>
      <x:c r="R46" s="57" t="str">
        <x:v>http://www.yiwu.com.cn/flxx/article-NDI0-2448660.html</x:v>
      </x:c>
      <x:c r="S46" s="57"/>
      <x:c r="T46" s="57"/>
      <x:c r="U46" s="57"/>
      <x:c r="V46" s="57"/>
      <x:c r="W46" s="57"/>
      <x:c r="X46" s="57"/>
      <x:c r="Y46" s="57" t="str">
        <x:v>pasted-text.txt（附件 222c8694-8d40-448b-b896-fa07be3fb543）</x:v>
      </x:c>
      <x:c r="Z46" s="57" t="str"/>
    </x:row>
    <x:row r="47" ht="52" customHeight="1">
      <x:c r="A47" s="55" t="n">
        <x:v>46245</x:v>
      </x:c>
      <x:c r="B47" s="56" t="n">
        <x:v>42</x:v>
      </x:c>
      <x:c r="C47" s="57" t="str">
        <x:v>热处理炉改造前需要准备哪些资料给厂家</x:v>
      </x:c>
      <x:c r="D47" s="57" t="str">
        <x:v>豆包</x:v>
      </x:c>
      <x:c r="E47" s="57" t="str">
        <x:v>无</x:v>
      </x:c>
      <x:c r="F47" s="57" t="str">
        <x:v>否</x:v>
      </x:c>
      <x:c r="G47" s="57" t="n">
        <x:v>0</x:v>
      </x:c>
      <x:c r="H47" s="57" t="n">
        <x:v>0</x:v>
      </x:c>
      <x:c r="I47" s="57" t="str">
        <x:v>无网址记录；缺完整回答正文/截图</x:v>
      </x:c>
      <x:c r="J47" s="57"/>
      <x:c r="K47" s="57"/>
      <x:c r="L47" s="57"/>
      <x:c r="M47" s="57"/>
      <x:c r="N47" s="57"/>
      <x:c r="O47" s="57"/>
      <x:c r="P47" s="57"/>
      <x:c r="Q47" s="57"/>
      <x:c r="R47" s="57"/>
      <x:c r="S47" s="57"/>
      <x:c r="T47" s="57"/>
      <x:c r="U47" s="57"/>
      <x:c r="V47" s="57"/>
      <x:c r="W47" s="57"/>
      <x:c r="X47" s="57"/>
      <x:c r="Y47" s="57" t="str">
        <x:v>pasted-text.txt（附件 222c8694-8d40-448b-b896-fa07be3fb543）</x:v>
      </x:c>
      <x:c r="Z47" s="57" t="str">
        <x:v>来源网址未记录</x:v>
      </x:c>
    </x:row>
    <x:row r="48" ht="52" customHeight="1">
      <x:c r="A48" s="55" t="n">
        <x:v>46245</x:v>
      </x:c>
      <x:c r="B48" s="56" t="n">
        <x:v>42</x:v>
      </x:c>
      <x:c r="C48" s="57" t="str">
        <x:v>热处理炉改造前需要准备哪些资料给厂家</x:v>
      </x:c>
      <x:c r="D48" s="57" t="str">
        <x:v>DeepSeek</x:v>
      </x:c>
      <x:c r="E48" s="57" t="str">
        <x:v>无</x:v>
      </x:c>
      <x:c r="F48" s="57" t="str">
        <x:v>否</x:v>
      </x:c>
      <x:c r="G48" s="57" t="n">
        <x:v>0</x:v>
      </x:c>
      <x:c r="H48" s="57" t="n">
        <x:v>9</x:v>
      </x:c>
      <x:c r="I48" s="57" t="str">
        <x:v>有网址记录；缺完整回答正文/截图</x:v>
      </x:c>
      <x:c r="J48" s="57" t="str">
        <x:v>https://wap.cnki.net/touch/web/Journal/Article/KUHB199903014.html</x:v>
      </x:c>
      <x:c r="K48" s="57" t="str">
        <x:v>https://cnncecp.com/download.svc?id=MtRtqjPbN3FwjRTgSYoK9uieqR21EsVddlvfvFbb%2FmBVHpqEM%2FAjlddAzkCcQ3DKXofaYy56FUBoGxC1F4m2d8zfSMadMGQ6FhCggpZ4uxtEq9%2BmeeOWN1%2B1uUEo6RRHtDQBjuXcq1GHSq6CFjibIq1%2F39RlnkoG6UDPKcVxUWY%3D#1#1</x:v>
      </x:c>
      <x:c r="L48" s="57" t="str">
        <x:v>https://wap.cnki.net/touch/web/Journal/Article/GYJR200306009.html</x:v>
      </x:c>
      <x:c r="M48" s="57" t="str">
        <x:v>https://m.zjtcn.com/news/51038062.html</x:v>
      </x:c>
      <x:c r="N48" s="57" t="str">
        <x:v>https://cnncecp.com/download.svc?id=OfNKIf5%2B%2F%2Bj9CjYXEyrkMFvFYqrF1kjwtTGRgweBVQ3RTJqJ3GUtOtCYTL27kYJPbGCDnOs0Q%2BA9DyIVwDAvFB0vFY0yWaM7NnKrmnGrfT0Yhh9o37qcEMWveP2vVVh%2By%2FfTRJW0c6m%2BKhAhKk5dvqXjudRqHrlmD9CsQuSQgM8%3D#1#1</x:v>
      </x:c>
      <x:c r="O48" s="57" t="str">
        <x:v>https://wap.cnki.net/touch/web/Journal/Article/ZZSB904.013.html</x:v>
      </x:c>
      <x:c r="P48" s="57" t="str">
        <x:v>https://baike.baidu.com/item/%E7%83%AD%E5%A4%84%E7%90%86%E7%82%89%E7%9A%84%E5%AE%89%E8%A3%85%E3%80%81%E8%B0%83%E8%AF%95%E4%B8%8E%E7%BB%B4%E4%BF%AE</x:v>
      </x:c>
      <x:c r="Q48" s="57" t="str">
        <x:v>http://opac.hbut.edu.cn:8080/opac/item.php?marc_no=0000319781&amp;list=1</x:v>
      </x:c>
      <x:c r="R48" s="57" t="str">
        <x:v>http://www.rclbbs.com/forum.php?mod=viewthread&amp;tid=25943&amp;page=1#pid163703</x:v>
      </x:c>
      <x:c r="S48" s="57"/>
      <x:c r="T48" s="57"/>
      <x:c r="U48" s="57"/>
      <x:c r="V48" s="57"/>
      <x:c r="W48" s="57"/>
      <x:c r="X48" s="57"/>
      <x:c r="Y48" s="57" t="str">
        <x:v>pasted-text.txt（附件 222c8694-8d40-448b-b896-fa07be3fb543）</x:v>
      </x:c>
      <x:c r="Z48" s="57" t="str"/>
    </x:row>
    <x:row r="49" ht="52" customHeight="1">
      <x:c r="A49" s="55" t="n">
        <x:v>46245</x:v>
      </x:c>
      <x:c r="B49" s="56" t="n">
        <x:v>42</x:v>
      </x:c>
      <x:c r="C49" s="57" t="str">
        <x:v>热处理炉改造前需要准备哪些资料给厂家</x:v>
      </x:c>
      <x:c r="D49" s="57" t="str">
        <x:v>元宝</x:v>
      </x:c>
      <x:c r="E49" s="57" t="str">
        <x:v>有</x:v>
      </x:c>
      <x:c r="F49" s="57" t="str">
        <x:v>是</x:v>
      </x:c>
      <x:c r="G49" s="57" t="n">
        <x:v>4</x:v>
      </x:c>
      <x:c r="H49" s="57" t="n">
        <x:v>15</x:v>
      </x:c>
      <x:c r="I49" s="57" t="str">
        <x:v>有网址记录；缺完整回答正文/截图</x:v>
      </x:c>
      <x:c r="J49" s="57" t="str">
        <x:v>https://www.jssngyl.cn/zh/news/re-chu-li-lu-gai-zao-qian-xu-yao-zhun-bei-na-xie-zi-liao-yi-fen-gei-chang-jia-gou-tong-de-ping-gu-qing-dan</x:v>
      </x:c>
      <x:c r="K49" s="57" t="str">
        <x:v>https://www.jssngyl.cn/zh/news/re-chu-li-lu-jie-neng-gai-zao-duo-shao-qian-fei-yong-gou-cheng-yu-suan-ying-xiang-yin-su-he-xun-jia-qian-zhun-bei</x:v>
      </x:c>
      <x:c r="L49" s="57" t="str">
        <x:v>https://www.jssngyl.cn/zh/service/furnace-renovation-overhaul</x:v>
      </x:c>
      <x:c r="M49" s="57" t="str">
        <x:v>https://www.jssngyl.cn/zh/products/detail/pusher-furnace</x:v>
      </x:c>
      <x:c r="N49" s="57" t="str">
        <x:v>https://max.book118.com/html/2015/0925/26158489.shtm</x:v>
      </x:c>
      <x:c r="O49" s="57" t="str">
        <x:v>https://www.jshygyl.com/zh/solutions/hydrogen-bell/</x:v>
      </x:c>
      <x:c r="P49" s="57" t="str">
        <x:v>https://www.bzfxw.com/soft/sort024/sy/1115805.html</x:v>
      </x:c>
      <x:c r="Q49" s="57" t="str">
        <x:v>http://www.chinakiln.net/technology/201108/24/270.html</x:v>
      </x:c>
      <x:c r="R49" s="57" t="str">
        <x:v>https://www.yokogawa.com/cis/solutions/solutions/energy-efficiency-waste-reduction-decarbonization/combustion-safety-optimization/</x:v>
      </x:c>
      <x:c r="S49" s="57" t="str">
        <x:v>https://www.yokogawa.com/cis/solutions/solutions/energy-efficiency-waste-reduction-decarbonization/combustion-safety-optimization/</x:v>
      </x:c>
      <x:c r="T49" s="57" t="str">
        <x:v>https://jz.docin.com/p-4503201541.html</x:v>
      </x:c>
      <x:c r="U49" s="57" t="str">
        <x:v>https://bbs.co188.com/thread-6732670-1-1.html</x:v>
      </x:c>
      <x:c r="V49" s="57" t="str">
        <x:v>https://so.html5.qq.com/page/real/search_news?docid=70000021_7366a61f46639852</x:v>
      </x:c>
      <x:c r="W49" s="57" t="str">
        <x:v>https://info.b2b168.com/s168-312090760.html</x:v>
      </x:c>
      <x:c r="X49" s="57" t="str">
        <x:v>https://info.b2b168.com/s168-312090760.html</x:v>
      </x:c>
      <x:c r="Y49" s="57" t="str">
        <x:v>pasted-text.txt（附件 222c8694-8d40-448b-b896-fa07be3fb543）</x:v>
      </x:c>
      <x:c r="Z49" s="57" t="str"/>
    </x:row>
  </x:sheetData>
  <x:mergeCells>
    <x:mergeCell ref="A1:J2"/>
    <x:mergeCell ref="A11:K11"/>
    <x:mergeCell ref="A12:K12"/>
  </x:mergeCells>
  <x:pageMargins left="0.7" right="0.7" top="0.75" bottom="0.75" header="0.3" footer="0.3"/>
  <x:tableParts count="1">
    <x:tablePart xmlns:r="http://schemas.openxmlformats.org/officeDocument/2006/relationships" r:id="R04c8e531d4f1494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8" hidden="0" customWidth="1"/>
    <x:col min="4" max="4" width="22" hidden="0" customWidth="1"/>
    <x:col min="5" max="5" width="22" hidden="0" customWidth="1"/>
    <x:col min="6" max="6" width="22" hidden="0" customWidth="1"/>
    <x:col min="7" max="7" width="34" hidden="0" customWidth="1"/>
    <x:col min="8" max="8" width="42" hidden="0" customWidth="1"/>
  </x:cols>
  <x:sheetData>
    <x:row r="1">
      <x:c r="A1" s="93" t="str">
        <x:v>GEO 复测轮次口径｜比较前先核对变量是否一致</x:v>
      </x:c>
      <x:c r="B1" s="93"/>
      <x:c r="C1" s="93"/>
      <x:c r="D1" s="93"/>
      <x:c r="E1" s="93"/>
      <x:c r="F1" s="93"/>
      <x:c r="G1" s="93"/>
      <x:c r="H1" s="93"/>
    </x:row>
    <x:row r="2">
      <x:c r="A2" s="93"/>
      <x:c r="B2" s="93"/>
      <x:c r="C2" s="93"/>
      <x:c r="D2" s="93"/>
      <x:c r="E2" s="93"/>
      <x:c r="F2" s="93"/>
      <x:c r="G2" s="93"/>
      <x:c r="H2" s="93"/>
    </x:row>
    <x:row r="4">
      <x:c r="A4" s="87" t="str">
        <x:v>轮次</x:v>
      </x:c>
      <x:c r="B4" s="87" t="str">
        <x:v>测试日期</x:v>
      </x:c>
      <x:c r="C4" s="87" t="str">
        <x:v>比较面板</x:v>
      </x:c>
      <x:c r="D4" s="87" t="str">
        <x:v>平台</x:v>
      </x:c>
      <x:c r="E4" s="87" t="str">
        <x:v>思考模式</x:v>
      </x:c>
      <x:c r="F4" s="87" t="str">
        <x:v>会话方式</x:v>
      </x:c>
      <x:c r="G4" s="87" t="str">
        <x:v>证据来源</x:v>
      </x:c>
      <x:c r="H4" s="87" t="str">
        <x:v>可比性结论</x:v>
      </x:c>
    </x:row>
    <x:row r="5" ht="42" customHeight="1">
      <x:c r="A5" s="74" t="str">
        <x:v>R1</x:v>
      </x:c>
      <x:c r="B5" s="75" t="n">
        <x:v>46232</x:v>
      </x:c>
      <x:c r="C5" s="74" t="str">
        <x:v>12问×3平台=36条</x:v>
      </x:c>
      <x:c r="D5" s="74" t="str">
        <x:v>豆包 / DeepSeek / 元宝</x:v>
      </x:c>
      <x:c r="E5" s="74" t="str">
        <x:v>深度思考</x:v>
      </x:c>
      <x:c r="F5" s="74" t="str">
        <x:v>未记录</x:v>
      </x:c>
      <x:c r="G5" s="74" t="str">
        <x:v>GEO 1.0 (1).xlsx</x:v>
      </x:c>
      <x:c r="H5" s="74" t="str">
        <x:v>固定问题/平台/分母可比；与R2思考模式不一致</x:v>
      </x:c>
    </x:row>
    <x:row r="6" ht="42" customHeight="1">
      <x:c r="A6" s="74" t="str">
        <x:v>R2</x:v>
      </x:c>
      <x:c r="B6" s="75" t="n">
        <x:v>46245</x:v>
      </x:c>
      <x:c r="C6" s="74" t="str">
        <x:v>12问×3平台=36条</x:v>
      </x:c>
      <x:c r="D6" s="74" t="str">
        <x:v>豆包 / DeepSeek / 元宝</x:v>
      </x:c>
      <x:c r="E6" s="74" t="str">
        <x:v>未记录</x:v>
      </x:c>
      <x:c r="F6" s="74" t="str">
        <x:v>未记录</x:v>
      </x:c>
      <x:c r="G6" s="74" t="str">
        <x:v>r2-sentinel-source-2026-08-11.tsv</x:v>
      </x:c>
      <x:c r="H6" s="74" t="str">
        <x:v>只能描述观察值，不能归因</x:v>
      </x:c>
    </x:row>
  </x:sheetData>
  <x:mergeCells>
    <x:mergeCell ref="A1:H2"/>
  </x:mergeCells>
  <x:pageMargins left="0.7" right="0.7" top="0.75" bottom="0.75" header="0.3" footer="0.3"/>
</x:worksheet>
</file>