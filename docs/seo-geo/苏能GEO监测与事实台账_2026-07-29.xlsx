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95bcd2508e49f2" /></Relationships>
</file>

<file path=xl/workbook.xml><?xml version="1.0" encoding="utf-8"?>
<x:workbook xmlns:x="http://schemas.openxmlformats.org/spreadsheetml/2006/main">
  <x:sheets>
    <x:sheet xmlns:r="http://schemas.openxmlformats.org/officeDocument/2006/relationships" name="基线总览" sheetId="1" r:id="R3dc318002fad4d4c"/>
    <x:sheet xmlns:r="http://schemas.openxmlformats.org/officeDocument/2006/relationships" name="复测明细" sheetId="2" r:id="Rb08fe750f80a44a5"/>
    <x:sheet xmlns:r="http://schemas.openxmlformats.org/officeDocument/2006/relationships" name="55问题库" sheetId="3" r:id="R84d61bfce22c43de"/>
    <x:sheet xmlns:r="http://schemas.openxmlformats.org/officeDocument/2006/relationships" name="事实单元" sheetId="4" r:id="Ra43fb042623b4e30"/>
    <x:sheet xmlns:r="http://schemas.openxmlformats.org/officeDocument/2006/relationships" name="审核字典" sheetId="5" r:id="Ra0ccdd42f6c5487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dae06ae0a704b1c" /><Relationship Type="http://schemas.openxmlformats.org/officeDocument/2006/relationships/theme" Target="/xl/theme/theme1.xml" Id="R77dae90e7b7448c9" /><Relationship Type="http://schemas.openxmlformats.org/officeDocument/2006/relationships/sharedStrings" Target="/xl/sharedStrings.xml" Id="R54d85e5364814fa3" /><Relationship Type="http://schemas.openxmlformats.org/officeDocument/2006/relationships/worksheet" Target="/xl/worksheets/sheet1.xml" Id="R3dc318002fad4d4c" /><Relationship Type="http://schemas.openxmlformats.org/officeDocument/2006/relationships/worksheet" Target="/xl/worksheets/sheet2.xml" Id="Rb08fe750f80a44a5" /><Relationship Type="http://schemas.openxmlformats.org/officeDocument/2006/relationships/worksheet" Target="/xl/worksheets/sheet3.xml" Id="R84d61bfce22c43de" /><Relationship Type="http://schemas.openxmlformats.org/officeDocument/2006/relationships/worksheet" Target="/xl/worksheets/sheet4.xml" Id="Ra43fb042623b4e30" /><Relationship Type="http://schemas.openxmlformats.org/officeDocument/2006/relationships/worksheet" Target="/xl/worksheets/sheet5.xml" Id="Ra0ccdd42f6c5487d"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da89c812d5648c5" /></Relationships>
</file>

<file path=xl/worksheets/_rels/sheet3.xml.rels>&#65279;<?xml version="1.0" encoding="utf-8"?><Relationships xmlns="http://schemas.openxmlformats.org/package/2006/relationships"><Relationship Type="http://schemas.openxmlformats.org/officeDocument/2006/relationships/table" Target="/xl/tables/table2.xml" Id="R5e5173fff0be4bab" /></Relationships>
</file>

<file path=xl/worksheets/_rels/sheet4.xml.rels>&#65279;<?xml version="1.0" encoding="utf-8"?><Relationships xmlns="http://schemas.openxmlformats.org/package/2006/relationships"><Relationship Type="http://schemas.openxmlformats.org/officeDocument/2006/relationships/table" Target="/xl/tables/table3.xml" Id="R7bd1c398d86245a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30" customHeight="1">
      <x:c r="A11" s="19" t="str">
        <x:v>待审核事实资产</x:v>
      </x:c>
      <x:c r="B11" s="19" t="n">
        <x:f>COUNTIF('事实单元'!$U$5:$U$28,"待审核")</x:f>
        <x:v>0</x:v>
      </x:c>
      <x:c r="C11" s="19" t="str">
        <x:f>COUNTIF('事实单元'!$U$5:$U$28,"待审核")&amp;" 项待审核；"&amp;COUNTIF('事实单元'!$U$5:$U$28,"精确值可发布")&amp;" 项可发布；"&amp;COUNTIF('事实单元'!$U$5:$U$28,"禁发")&amp;" 项禁发"</x:f>
        <x:v>0 项待审核；21 项可发布；3 项禁发</x:v>
      </x:c>
      <x:c r="D11" s="19" t="str">
        <x:v>21 项已进入精确值可发布状态并映射到现有页面；3 项 P2 弱相关资料继续内部留存。</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bda89c812d5648c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5e5173fff0be4ba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x:v>
      </x:c>
      <x:c r="B1" s="4"/>
      <x:c r="C1" s="4"/>
      <x:c r="D1" s="4"/>
      <x:c r="E1" s="4"/>
      <x:c r="F1" s="4"/>
      <x:c r="G1" s="4"/>
      <x:c r="H1" s="4"/>
      <x:c r="I1"/>
      <x:c r="J1"/>
      <x:c r="K1"/>
      <x:c r="L1"/>
      <x:c r="M1"/>
      <x:c r="N1"/>
      <x:c r="O1"/>
      <x:c r="P1"/>
      <x:c r="Q1"/>
      <x:c r="R1"/>
      <x:c r="S1"/>
      <x:c r="T1"/>
      <x:c r="U1"/>
      <x:c r="V1"/>
      <x:c r="W1"/>
      <x:c r="X1"/>
    </x:row>
    <x:row r="2" ht="54" customHeight="1">
      <x:c r="A2" s="4" t="str">
        <x:v>24 项事实单元与三门审核
21 项已由钱波完成行业合理性及发布确认，按现有案例、方案和产品页公开；3 项 P2 弱相关内部资料继续禁发。</x:v>
      </x:c>
      <x:c r="B2" s="4"/>
      <x:c r="C2" s="4"/>
      <x:c r="D2" s="4"/>
      <x:c r="E2" s="4"/>
      <x:c r="F2" s="4"/>
      <x:c r="G2" s="4"/>
      <x:c r="H2" s="4"/>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处理 PC200 至 PC400 支重轮；加热炉额定温度 950℃；有效加热区约 6400×300×300mm；设计处理能力资料中出现约 500kg/h，公开时建议表述为按工件规格单独确认。</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可公开为支重轮连续热处理生产线项目经验，突出自动加热、淬火、回火、冷却联动和多规格适配。</x:v>
      </x:c>
      <x:c r="M5" s="25" t="str">
        <x:v>客户全称、完整工艺图纸、PLC 程序、报价和付款条款、具体联系人信息。</x:v>
      </x:c>
      <x:c r="N5" s="25" t="str">
        <x:v>docs/seo-geo/case-assets-dedup.json#SN-CASE-P0-001</x:v>
      </x:c>
      <x:c r="O5" s="25" t="str">
        <x:v>是</x:v>
      </x:c>
      <x:c r="P5" s="25" t="str">
        <x:v>是</x:v>
      </x:c>
      <x:c r="Q5" s="25" t="str">
        <x:v>济宁支重轮现有案例页</x:v>
      </x:c>
      <x:c r="R5" s="25" t="str">
        <x:v>通过</x:v>
      </x:c>
      <x:c r="S5" s="25" t="str">
        <x:v>通过</x:v>
      </x:c>
      <x:c r="T5" s="25" t="str">
        <x:v>通过</x:v>
      </x:c>
      <x:c r="U5" s="25" t="str">
        <x:f>IF(OR(R5="禁发",S5="禁发",T5="禁发"),"禁发",IF(AND(R5="通过",S5="通过",T5="通过"),"精确值可发布","待审核"))</x:f>
        <x:v>精确值可发布</x:v>
      </x:c>
      <x:c r="V5" s="25" t="str">
        <x:v>钱波（行业合理性及发布确认）</x:v>
      </x:c>
      <x:c r="W5" s="26" t="str">
        <x:v>2026-07-29</x:v>
      </x:c>
      <x:c r="X5" s="25" t="str">
        <x:v>P0 优先，适合补强连续热处理生产线主枢纽页和工程机械行业背书；公开前需客户授权或保持脱敏。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方案资料中出现正火炉有效宽度 800-1000mm、正火温度约 950℃、回火温度约 650℃、多区 PID 控温、变频调速网带；公开时不承诺固定产量。</x:v>
      </x:c>
      <x:c r="J6" s="25" t="str">
        <x:v>正火与回火连续衔接、快速冷却与余热利用、托辊网带同步传动、工件冷却氧化控制。</x:v>
      </x:c>
      <x:c r="K6" s="25" t="str">
        <x:v>正火炉、冷却段、回火炉、温控与传动系统方案。</x:v>
      </x:c>
      <x:c r="L6" s="25" t="str">
        <x:v>可公开托辊网带正火回火连续线的工艺链、设备组成、节拍调节和冷却段设计思路。</x:v>
      </x:c>
      <x:c r="M6" s="25" t="str">
        <x:v>客户全称、精确报价、完整布置图、供应商清单、验收细则。</x:v>
      </x:c>
      <x:c r="N6" s="25" t="str">
        <x:v>docs/seo-geo/case-assets-dedup.json#SN-CASE-P0-002</x:v>
      </x:c>
      <x:c r="O6" s="25" t="str">
        <x:v>是</x:v>
      </x:c>
      <x:c r="P6" s="25" t="str">
        <x:v>是</x:v>
      </x:c>
      <x:c r="Q6" s="25" t="str">
        <x:v>连续热处理生产线现有方案页</x:v>
      </x:c>
      <x:c r="R6" s="25" t="str">
        <x:v>通过</x:v>
      </x:c>
      <x:c r="S6" s="25" t="str">
        <x:v>通过</x:v>
      </x:c>
      <x:c r="T6" s="25" t="str">
        <x:v>通过</x:v>
      </x:c>
      <x:c r="U6" s="25" t="str">
        <x:f>IF(OR(R6="禁发",S6="禁发",T6="禁发"),"禁发",IF(AND(R6="通过",S6="通过",T6="通过"),"精确值可发布","待审核"))</x:f>
        <x:v>精确值可发布</x:v>
      </x:c>
      <x:c r="V6" s="25" t="str">
        <x:v>钱波（行业合理性及发布确认）</x:v>
      </x:c>
      <x:c r="W6" s="26" t="str">
        <x:v>2026-07-29</x:v>
      </x:c>
      <x:c r="X6" s="25" t="str">
        <x:v>P0 优先，可作为托辊网带生产线、连续热处理生产线、网带炉页面的核心项目经验。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资料中出现 RCWT 系列方案、有效宽度约 800-850mm、淬火炉额定温度 950℃、回火炉 650℃、网带速度约 30-300mm/min 或 30-250mm/min，具体需按工件单独确认。</x:v>
      </x:c>
      <x:c r="J7" s="25" t="str">
        <x:v>长炉膛网带承载与托辊支撑、油槽提升与清洗段衔接、气氛/碳势控制、工件堆料状态对产能的影响。</x:v>
      </x:c>
      <x:c r="K7" s="25" t="str">
        <x:v>生产线工艺方案、淬火炉、油槽提升、清洗机、回火炉、气氛控制和电气联锁。</x:v>
      </x:c>
      <x:c r="L7" s="25" t="str">
        <x:v>可公开为托辊网带淬火回火生产线项目经验，突出托辊支撑、连续输送和配套清洗/回火联动。</x:v>
      </x:c>
      <x:c r="M7" s="25" t="str">
        <x:v>客户全称、内部报价、完整控制逻辑、油槽细部图、供应商清单。</x:v>
      </x:c>
      <x:c r="N7" s="25" t="str">
        <x:v>docs/seo-geo/case-assets-dedup.json#SN-CASE-P0-003</x:v>
      </x:c>
      <x:c r="O7" s="25" t="str">
        <x:v>是</x:v>
      </x:c>
      <x:c r="P7" s="25" t="str">
        <x:v>是</x:v>
      </x:c>
      <x:c r="Q7" s="25" t="str">
        <x:v>连续热处理生产线现有方案页</x:v>
      </x:c>
      <x:c r="R7" s="25" t="str">
        <x:v>通过</x:v>
      </x:c>
      <x:c r="S7" s="25" t="str">
        <x:v>通过</x:v>
      </x:c>
      <x:c r="T7" s="25" t="str">
        <x:v>通过</x:v>
      </x:c>
      <x:c r="U7" s="25" t="str">
        <x:f>IF(OR(R7="禁发",S7="禁发",T7="禁发"),"禁发",IF(AND(R7="通过",S7="通过",T7="通过"),"精确值可发布","待审核"))</x:f>
        <x:v>精确值可发布</x:v>
      </x:c>
      <x:c r="V7" s="25" t="str">
        <x:v>钱波（行业合理性及发布确认）</x:v>
      </x:c>
      <x:c r="W7" s="26" t="str">
        <x:v>2026-07-29</x:v>
      </x:c>
      <x:c r="X7" s="25" t="str">
        <x:v>多个年份和规格资料可合并为一个脱敏项目经验，避免重复案例。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资料中出现 RCWT-75/45-9/6 型，淬火炉工作尺寸约 400×3200mm，回火炉约 400×5600mm，额定温度 950℃，生产能力约 150kg/h，网带速度约 30-250mm/min。</x:v>
      </x:c>
      <x:c r="J8" s="25" t="str">
        <x:v>小件保护气氛加热、油烟隔离、落料通道密封、炉内碳势或气氛稳定、清洗回火节拍衔接。</x:v>
      </x:c>
      <x:c r="K8" s="25" t="str">
        <x:v>保护气氛网带淬火炉、淬火槽、清洗机、回火炉、气氛控制和温控系统方案。</x:v>
      </x:c>
      <x:c r="L8" s="25" t="str">
        <x:v>可公开可控气氛托辊网带生产线的设备组成、保护气氛、淬火清洗回火联动。</x:v>
      </x:c>
      <x:c r="M8" s="25" t="str">
        <x:v>氧探头/碳势控制细节、完整电控图、客户全称、报价和付款条款。</x:v>
      </x:c>
      <x:c r="N8" s="25" t="str">
        <x:v>docs/seo-geo/case-assets-dedup.json#SN-CASE-P0-004</x:v>
      </x:c>
      <x:c r="O8" s="25" t="str">
        <x:v>是</x:v>
      </x:c>
      <x:c r="P8" s="25" t="str">
        <x:v>是</x:v>
      </x:c>
      <x:c r="Q8" s="25" t="str">
        <x:v>连续热处理生产线现有方案页</x:v>
      </x:c>
      <x:c r="R8" s="25" t="str">
        <x:v>通过</x:v>
      </x:c>
      <x:c r="S8" s="25" t="str">
        <x:v>通过</x:v>
      </x:c>
      <x:c r="T8" s="25" t="str">
        <x:v>通过</x:v>
      </x:c>
      <x:c r="U8" s="25" t="str">
        <x:f>IF(OR(R8="禁发",S8="禁发",T8="禁发"),"禁发",IF(AND(R8="通过",S8="通过",T8="通过"),"精确值可发布","待审核"))</x:f>
        <x:v>精确值可发布</x:v>
      </x:c>
      <x:c r="V8" s="25" t="str">
        <x:v>钱波（行业合理性及发布确认）</x:v>
      </x:c>
      <x:c r="W8" s="26" t="str">
        <x:v>2026-07-29</x:v>
      </x:c>
      <x:c r="X8" s="25" t="str">
        <x:v>与网带式渗碳气氛生产线有主题接近，官网发布时应区分为“可控气氛淬火回火线”而非渗碳专页。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资料中出现有效加热区约 9300×1000×100mm，最高工作温度 950℃，加热功率约 300kW，生产量资料按件/天表述；公开时需标注仅适用于该工件和节拍。</x:v>
      </x:c>
      <x:c r="J9" s="25" t="str">
        <x:v>渗碳气氛密封、油烟进入加热区控制、托辊与网带寿命、淬火槽温度与提升机构联动。</x:v>
      </x:c>
      <x:c r="K9" s="25" t="str">
        <x:v>渗碳气氛加热炉、淬火槽、托辊网带输送、气氛管路和控制系统。</x:v>
      </x:c>
      <x:c r="L9" s="25" t="str">
        <x:v>可公开为网带式渗碳气氛热处理生产线项目经验，突出气氛密封、双层托辊、淬火槽联动。</x:v>
      </x:c>
      <x:c r="M9" s="25" t="str">
        <x:v>具体客户、产量承诺、气氛配比细节、报价单、工艺配方和图纸。</x:v>
      </x:c>
      <x:c r="N9" s="25" t="str">
        <x:v>docs/seo-geo/case-assets-dedup.json#SN-CASE-P0-005</x:v>
      </x:c>
      <x:c r="O9" s="25" t="str">
        <x:v>是</x:v>
      </x:c>
      <x:c r="P9" s="25" t="str">
        <x:v>是</x:v>
      </x:c>
      <x:c r="Q9" s="25" t="str">
        <x:v>连续热处理生产线现有方案页</x:v>
      </x:c>
      <x:c r="R9" s="25" t="str">
        <x:v>通过</x:v>
      </x:c>
      <x:c r="S9" s="25" t="str">
        <x:v>通过</x:v>
      </x:c>
      <x:c r="T9" s="25" t="str">
        <x:v>通过</x:v>
      </x:c>
      <x:c r="U9" s="25" t="str">
        <x:f>IF(OR(R9="禁发",S9="禁发",T9="禁发"),"禁发",IF(AND(R9="通过",S9="通过",T9="通过"),"精确值可发布","待审核"))</x:f>
        <x:v>精确值可发布</x:v>
      </x:c>
      <x:c r="V9" s="25" t="str">
        <x:v>钱波（行业合理性及发布确认）</x:v>
      </x:c>
      <x:c r="W9" s="26" t="str">
        <x:v>2026-07-29</x:v>
      </x:c>
      <x:c r="X9" s="25" t="str">
        <x:v>渗碳/气氛内容需克制表述，避免被理解为固定成熟标准线。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资料中出现 850mm 热轧不锈钢连续退火钝化线、退火温度约 1050-1150℃、炉温最高可至 1300℃、退火炉主体长度约 130m、带速与 TV 值按材料规格计算。</x:v>
      </x:c>
      <x:c r="J10" s="25" t="str">
        <x:v>带材高速连续退火固溶、敏化区快速通过、分段冷却、张力与板形控制、燃烧与余热利用。</x:v>
      </x:c>
      <x:c r="K10" s="25" t="str">
        <x:v>退火固溶段工艺设计、炉体与冷却段设备、燃烧与控制系统、安装调试配合。</x:v>
      </x:c>
      <x:c r="L10" s="25" t="str">
        <x:v>可公开为不锈钢连续退洗线退火固溶段设备项目经验，强调工程总包配套和退火固溶段系统设计。</x:v>
      </x:c>
      <x:c r="M10" s="25" t="str">
        <x:v>买方/总包全称、钢种明细、完整技术协议、布置图、材料清单、报价与合同边界。</x:v>
      </x:c>
      <x:c r="N10" s="25" t="str">
        <x:v>docs/seo-geo/case-assets-dedup.json#SN-CASE-P0-006</x:v>
      </x:c>
      <x:c r="O10" s="25" t="str">
        <x:v>是</x:v>
      </x:c>
      <x:c r="P10" s="25" t="str">
        <x:v>是</x:v>
      </x:c>
      <x:c r="Q10" s="25" t="str">
        <x:v>河南退火固溶现有案例页</x:v>
      </x:c>
      <x:c r="R10" s="25" t="str">
        <x:v>通过</x:v>
      </x:c>
      <x:c r="S10" s="25" t="str">
        <x:v>通过</x:v>
      </x:c>
      <x:c r="T10" s="25" t="str">
        <x:v>通过</x:v>
      </x:c>
      <x:c r="U10" s="25" t="str">
        <x:f>IF(OR(R10="禁发",S10="禁发",T10="禁发"),"禁发",IF(AND(R10="通过",S10="通过",T10="通过"),"精确值可发布","待审核"))</x:f>
        <x:v>精确值可发布</x:v>
      </x:c>
      <x:c r="V10" s="25" t="str">
        <x:v>钱波（行业合理性及发布确认）</x:v>
      </x:c>
      <x:c r="W10" s="26" t="str">
        <x:v>2026-07-29</x:v>
      </x:c>
      <x:c r="X10" s="25" t="str">
        <x:v>P0 优先，可支撑退火固溶生产线页面和连续热处理生产线主枢纽。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资料中出现 1250mm 连续退洗线、单线退火固溶段、工艺速度约 40-45m/min、钢卷重量 Max28t、退火工艺段约 105m；公开时只保留范围和系统能力描述。</x:v>
      </x:c>
      <x:c r="J11" s="25" t="str">
        <x:v>宽带不锈钢连续处理、退火固溶段设备供货边界、圆盘辊/托辊快速更换、板温监控和多系统联动。</x:v>
      </x:c>
      <x:c r="K11" s="25" t="str">
        <x:v>退火固溶段设备、燃烧系统、冷却烘干系统、托辊与电控系统配套。</x:v>
      </x:c>
      <x:c r="L11" s="25" t="str">
        <x:v>可脱敏为 1250mm 不锈钢连续退洗线退火固溶段项目经验。</x:v>
      </x:c>
      <x:c r="M11" s="25" t="str">
        <x:v>客户全称、材料清单重量、控制柜规格、供应商品牌、合同条款、报价和付款信息。</x:v>
      </x:c>
      <x:c r="N11" s="25" t="str">
        <x:v>docs/seo-geo/case-assets-dedup.json#SN-CASE-P0-007</x:v>
      </x:c>
      <x:c r="O11" s="25" t="str">
        <x:v>是</x:v>
      </x:c>
      <x:c r="P11" s="25" t="str">
        <x:v>是</x:v>
      </x:c>
      <x:c r="Q11" s="25" t="str">
        <x:v>连续退洗线节能改造现有案例页</x:v>
      </x:c>
      <x:c r="R11" s="25" t="str">
        <x:v>通过</x:v>
      </x:c>
      <x:c r="S11" s="25" t="str">
        <x:v>通过</x:v>
      </x:c>
      <x:c r="T11" s="25" t="str">
        <x:v>通过</x:v>
      </x:c>
      <x:c r="U11" s="25" t="str">
        <x:f>IF(OR(R11="禁发",S11="禁发",T11="禁发"),"禁发",IF(AND(R11="通过",S11="通过",T11="通过"),"精确值可发布","待审核"))</x:f>
        <x:v>精确值可发布</x:v>
      </x:c>
      <x:c r="V11" s="25" t="str">
        <x:v>钱波（行业合理性及发布确认）</x:v>
      </x:c>
      <x:c r="W11" s="26" t="str">
        <x:v>2026-07-29</x:v>
      </x:c>
      <x:c r="X11" s="25" t="str">
        <x:v>源资料含客户全称，应继续脱敏；可与已公开的退洗线节能改造案例形成项目经验体系。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资料中出现 1250mm 连续退洗线三线改造、冷煤气替代天然气、双交叉限幅控制、节能测算数据。公开引用具体数据时必须标注只适用于该项目工况。</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可公开为老旧连续退洗线节能改造项目经验，重点讲燃烧系统和控制系统升级。</x:v>
      </x:c>
      <x:c r="M12" s="25" t="str">
        <x:v>客户全称、完整能耗台账、内部节能计算表、燃气参数全表、报价和合同条款。</x:v>
      </x:c>
      <x:c r="N12" s="25" t="str">
        <x:v>docs/seo-geo/case-assets-dedup.json#SN-CASE-P0-008</x:v>
      </x:c>
      <x:c r="O12" s="25" t="str">
        <x:v>是</x:v>
      </x:c>
      <x:c r="P12" s="25" t="str">
        <x:v>是</x:v>
      </x:c>
      <x:c r="Q12" s="25" t="str">
        <x:v>连续退洗线节能改造现有案例页</x:v>
      </x:c>
      <x:c r="R12" s="25" t="str">
        <x:v>通过</x:v>
      </x:c>
      <x:c r="S12" s="25" t="str">
        <x:v>通过</x:v>
      </x:c>
      <x:c r="T12" s="25" t="str">
        <x:v>通过</x:v>
      </x:c>
      <x:c r="U12" s="25" t="str">
        <x:f>IF(OR(R12="禁发",S12="禁发",T12="禁发"),"禁发",IF(AND(R12="通过",S12="通过",T12="通过"),"精确值可发布","待审核"))</x:f>
        <x:v>精确值可发布</x:v>
      </x:c>
      <x:c r="V12" s="25" t="str">
        <x:v>钱波（行业合理性及发布确认）</x:v>
      </x:c>
      <x:c r="W12" s="26" t="str">
        <x:v>2026-07-29</x:v>
      </x:c>
      <x:c r="X12" s="25" t="str">
        <x:v>若引用年节能或吨钢降本数据，必须使用边界说明：该数据仅适用于对应燃料结构、负荷、运行制度和改造范围。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资料中出现 850/1250 设备规格书、退火炉由预热段和 4 个加热段组成，燃烧区约 8 区控制，带钢退火温度通常 700-1200℃，冷却至约 80℃以下。</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可公开为热轧退火酸洗项目退火炉项目经验，突出预热、加热、冷却、干燥系统级能力。</x:v>
      </x:c>
      <x:c r="M13" s="25" t="str">
        <x:v>客户全称、设备布置图、主要供应商、验收细则、详细电机表和报价。</x:v>
      </x:c>
      <x:c r="N13" s="25" t="str">
        <x:v>docs/seo-geo/case-assets-dedup.json#SN-CASE-P0-009</x:v>
      </x:c>
      <x:c r="O13" s="25" t="str">
        <x:v>是</x:v>
      </x:c>
      <x:c r="P13" s="25" t="str">
        <x:v>是</x:v>
      </x:c>
      <x:c r="Q13" s="25" t="str">
        <x:v>连续热处理生产线现有方案页</x:v>
      </x:c>
      <x:c r="R13" s="25" t="str">
        <x:v>通过</x:v>
      </x:c>
      <x:c r="S13" s="25" t="str">
        <x:v>通过</x:v>
      </x:c>
      <x:c r="T13" s="25" t="str">
        <x:v>通过</x:v>
      </x:c>
      <x:c r="U13" s="25" t="str">
        <x:f>IF(OR(R13="禁发",S13="禁发",T13="禁发"),"禁发",IF(AND(R13="通过",S13="通过",T13="通过"),"精确值可发布","待审核"))</x:f>
        <x:v>精确值可发布</x:v>
      </x:c>
      <x:c r="V13" s="25" t="str">
        <x:v>钱波（行业合理性及发布确认）</x:v>
      </x:c>
      <x:c r="W13" s="26" t="str">
        <x:v>2026-07-29</x:v>
      </x:c>
      <x:c r="X13" s="25" t="str">
        <x:v>源资料含多个客户版本，可合并为一个脱敏案例或拆为项目经验模块。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资料中出现有效尺寸约 2.5×1.6×0.8m，设备数量 2 台，最高温度 950℃，每台 4 套 250kW 低氮烧嘴，换热后助燃空气约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可公开低氮燃气加热炉生产线项目经验，强调低氮燃烧方案和燃气安全控制。</x:v>
      </x:c>
      <x:c r="M14" s="25" t="str">
        <x:v>客户全称、项目详细排放验收报告、燃气管路图、报价和付款条款。</x:v>
      </x:c>
      <x:c r="N14" s="25" t="str">
        <x:v>docs/seo-geo/case-assets-dedup.json#SN-CASE-P0-010</x:v>
      </x:c>
      <x:c r="O14" s="25" t="str">
        <x:v>是</x:v>
      </x:c>
      <x:c r="P14" s="25" t="str">
        <x:v>是</x:v>
      </x:c>
      <x:c r="Q14" s="25" t="str">
        <x:v>连续热处理生产线现有方案页</x:v>
      </x:c>
      <x:c r="R14" s="25" t="str">
        <x:v>通过</x:v>
      </x:c>
      <x:c r="S14" s="25" t="str">
        <x:v>通过</x:v>
      </x:c>
      <x:c r="T14" s="25" t="str">
        <x:v>通过</x:v>
      </x:c>
      <x:c r="U14" s="25" t="str">
        <x:f>IF(OR(R14="禁发",S14="禁发",T14="禁发"),"禁发",IF(AND(R14="通过",S14="通过",T14="通过"),"精确值可发布","待审核"))</x:f>
        <x:v>精确值可发布</x:v>
      </x:c>
      <x:c r="V14" s="25" t="str">
        <x:v>钱波（行业合理性及发布确认）</x:v>
      </x:c>
      <x:c r="W14" s="26" t="str">
        <x:v>2026-07-29</x:v>
      </x:c>
      <x:c r="X14" s="25" t="str">
        <x:v>公开时不要承诺固定达标或固定 NOx 数值，表述为按所在地排放要求和验收口径设计。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资料中出现 750t/d 双带炉、带钢宽度约 485-610mm，厚度约 2.0-5.5mm，工艺速度约 26.6m/min，炉子段约 110m，烧嘴总功率资料中有配置值。</x:v>
      </x:c>
      <x:c r="J15" s="25" t="str">
        <x:v>双带无张力退火、预热和均热段组织、带钢冷却至规定出口温度、收放卷和纠偏边界协同。</x:v>
      </x:c>
      <x:c r="K15" s="25" t="str">
        <x:v>连续退火炉、燃烧系统、冷却烘干段、温控和联锁系统，配合产线边界实施。</x:v>
      </x:c>
      <x:c r="L15" s="25" t="str">
        <x:v>可公开为不锈钢连续退火炉双带炉项目经验，突出带材连续退火系统能力。</x:v>
      </x:c>
      <x:c r="M15" s="25" t="str">
        <x:v>客户全称、厂区地址、详细年产量和产量计算表、供应商品牌、报价和合同条款。</x:v>
      </x:c>
      <x:c r="N15" s="25" t="str">
        <x:v>docs/seo-geo/case-assets-dedup.json#SN-CASE-P0-011</x:v>
      </x:c>
      <x:c r="O15" s="25" t="str">
        <x:v>是</x:v>
      </x:c>
      <x:c r="P15" s="25" t="str">
        <x:v>是</x:v>
      </x:c>
      <x:c r="Q15" s="25" t="str">
        <x:v>连续热处理生产线现有方案页</x:v>
      </x:c>
      <x:c r="R15" s="25" t="str">
        <x:v>通过</x:v>
      </x:c>
      <x:c r="S15" s="25" t="str">
        <x:v>通过</x:v>
      </x:c>
      <x:c r="T15" s="25" t="str">
        <x:v>通过</x:v>
      </x:c>
      <x:c r="U15" s="25" t="str">
        <x:f>IF(OR(R15="禁发",S15="禁发",T15="禁发"),"禁发",IF(AND(R15="通过",S15="通过",T15="通过"),"精确值可发布","待审核"))</x:f>
        <x:v>精确值可发布</x:v>
      </x:c>
      <x:c r="V15" s="25" t="str">
        <x:v>钱波（行业合理性及发布确认）</x:v>
      </x:c>
      <x:c r="W15" s="26" t="str">
        <x:v>2026-07-29</x:v>
      </x:c>
      <x:c r="X15" s="25" t="str">
        <x:v>与退火固溶生产线主题高度相关，建议先用于系统页项目经验，不急于单独案例页。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资料中出现 4 台炉体，额定温度 700℃，使用温度约 550-700℃，每室约 200kW，装料有效尺寸约 Φ1710×1600mm，PLC 控制。</x:v>
      </x:c>
      <x:c r="J16" s="25" t="str">
        <x:v>铜合金线材装料方式、保护气氛、热风循环均匀性、自动装卸料小车与多炉联动。</x:v>
      </x:c>
      <x:c r="K16" s="25" t="str">
        <x:v>室式退火炉、热风循环、氮气管路、自动装卸料和控制系统方案。</x:v>
      </x:c>
      <x:c r="L16" s="25" t="str">
        <x:v>可脱敏用于铜材/线材退火相关项目经验，说明苏能具备铜合金线材退火设备能力。</x:v>
      </x:c>
      <x:c r="M16" s="25" t="str">
        <x:v>客户全称、车间位置、详细控制参数、报价单、联系人和付款条款。</x:v>
      </x:c>
      <x:c r="N16" s="25" t="str">
        <x:v>docs/seo-geo/case-assets-dedup.json#SN-CASE-P1-012</x:v>
      </x:c>
      <x:c r="O16" s="25" t="str">
        <x:v>是</x:v>
      </x:c>
      <x:c r="P16" s="25" t="str">
        <x:v>是</x:v>
      </x:c>
      <x:c r="Q16" s="25" t="str">
        <x:v>箱式炉现有产品页</x:v>
      </x:c>
      <x:c r="R16" s="25" t="str">
        <x:v>通过</x:v>
      </x:c>
      <x:c r="S16" s="25" t="str">
        <x:v>通过</x:v>
      </x:c>
      <x:c r="T16" s="25" t="str">
        <x:v>通过</x:v>
      </x:c>
      <x:c r="U16" s="25" t="str">
        <x:f>IF(OR(R16="禁发",S16="禁发",T16="禁发"),"禁发",IF(AND(R16="通过",S16="通过",T16="通过"),"精确值可发布","待审核"))</x:f>
        <x:v>精确值可发布</x:v>
      </x:c>
      <x:c r="V16" s="25" t="str">
        <x:v>钱波（行业合理性及发布确认）</x:v>
      </x:c>
      <x:c r="W16" s="26" t="str">
        <x:v>2026-07-29</x:v>
      </x:c>
      <x:c r="X16" s="25" t="str">
        <x:v>不是铜丝自动化连续退火生产线，不能包装成铜丝连续线案例。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资料中出现 10m×3m×2.2m 台车式轴承钢丝球化退火炉相关方案；具体温度、装炉量和改造边界需二次核对。</x:v>
      </x:c>
      <x:c r="J17" s="25" t="str">
        <x:v>钢丝盘卷或线材装炉、球化退火工艺曲线、温度均匀性和炉内承载方式。</x:v>
      </x:c>
      <x:c r="K17" s="25" t="str">
        <x:v>台车式球化退火炉方案、制造或改造、安装调试配合。</x:v>
      </x:c>
      <x:c r="L17" s="25" t="str">
        <x:v>可用于台车炉页面项目经验模块，说明台车炉可覆盖轴承钢丝球化退火场景。</x:v>
      </x:c>
      <x:c r="M17" s="25" t="str">
        <x:v>客户全称、精确工艺曲线、服务响应承诺、报价和合同周期。</x:v>
      </x:c>
      <x:c r="N17" s="25" t="str">
        <x:v>docs/seo-geo/case-assets-dedup.json#SN-CASE-P1-013</x:v>
      </x:c>
      <x:c r="O17" s="25" t="str">
        <x:v>是</x:v>
      </x:c>
      <x:c r="P17" s="25" t="str">
        <x:v>是</x:v>
      </x:c>
      <x:c r="Q17" s="25" t="str">
        <x:v>台车炉现有产品页</x:v>
      </x:c>
      <x:c r="R17" s="25" t="str">
        <x:v>通过</x:v>
      </x:c>
      <x:c r="S17" s="25" t="str">
        <x:v>通过</x:v>
      </x:c>
      <x:c r="T17" s="25" t="str">
        <x:v>通过</x:v>
      </x:c>
      <x:c r="U17" s="25" t="str">
        <x:f>IF(OR(R17="禁发",S17="禁发",T17="禁发"),"禁发",IF(AND(R17="通过",S17="通过",T17="通过"),"精确值可发布","待审核"))</x:f>
        <x:v>精确值可发布</x:v>
      </x:c>
      <x:c r="V17" s="25" t="str">
        <x:v>钱波（行业合理性及发布确认）</x:v>
      </x:c>
      <x:c r="W17" s="26" t="str">
        <x:v>2026-07-29</x:v>
      </x:c>
      <x:c r="X17" s="25" t="str">
        <x:v>资料中出现服务响应和固定周期类表述，公开前需全部降级为合同约定。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资料中出现炉膛尺寸约 13×7.4×4.3m，额定温度 700℃，14 套燃气烧嘴，助燃空气预热约 250-300℃；公开时避免节能率承诺。</x:v>
      </x:c>
      <x:c r="J18" s="25" t="str">
        <x:v>原电阻炉改燃气、超大炉膛密封、炉压控制、烧嘴布置、余热回收和安全联锁。</x:v>
      </x:c>
      <x:c r="K18" s="25" t="str">
        <x:v>电改燃方案、燃烧系统、密封改造、炉压与排烟余热回收、控制系统升级。</x:v>
      </x:c>
      <x:c r="L18" s="25" t="str">
        <x:v>可作为工业炉节能改造与台车炉改造项目经验模块。</x:v>
      </x:c>
      <x:c r="M18" s="25" t="str">
        <x:v>客户全称、节能率/热效率绝对承诺、燃气管路图、报价和付款条款。</x:v>
      </x:c>
      <x:c r="N18" s="25" t="str">
        <x:v>docs/seo-geo/case-assets-dedup.json#SN-CASE-P1-014</x:v>
      </x:c>
      <x:c r="O18" s="25" t="str">
        <x:v>是</x:v>
      </x:c>
      <x:c r="P18" s="25" t="str">
        <x:v>是</x:v>
      </x:c>
      <x:c r="Q18" s="25" t="str">
        <x:v>台车炉现有产品页</x:v>
      </x:c>
      <x:c r="R18" s="25" t="str">
        <x:v>通过</x:v>
      </x:c>
      <x:c r="S18" s="25" t="str">
        <x:v>通过</x:v>
      </x:c>
      <x:c r="T18" s="25" t="str">
        <x:v>通过</x:v>
      </x:c>
      <x:c r="U18" s="25" t="str">
        <x:f>IF(OR(R18="禁发",S18="禁发",T18="禁发"),"禁发",IF(AND(R18="通过",S18="通过",T18="通过"),"精确值可发布","待审核"))</x:f>
        <x:v>精确值可发布</x:v>
      </x:c>
      <x:c r="V18" s="25" t="str">
        <x:v>钱波（行业合理性及发布确认）</x:v>
      </x:c>
      <x:c r="W18" s="26" t="str">
        <x:v>2026-07-29</x:v>
      </x:c>
      <x:c r="X18" s="25" t="str">
        <x:v>公开时要删除“同行领先”等风险表述，只保留按工况评估。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资料中出现 REWF-45-9 型，网带尺寸约 2100×200×50mm，有效宽度约 180mm，额定温度 950℃，产量约 60kg/h，网带速度约 10-114mm/min。</x:v>
      </x:c>
      <x:c r="J19" s="25" t="str">
        <x:v>小型工件保护气氛、马弗罐密封、网带传动和活动料框出料、淬火油槽温度控制。</x:v>
      </x:c>
      <x:c r="K19" s="25" t="str">
        <x:v>马弗式保护气氛网带炉、淬火油槽、气氛和温控系统。</x:v>
      </x:c>
      <x:c r="L19" s="25" t="str">
        <x:v>可用于网带炉页面项目经验，说明保护气氛网带炉配置能力。</x:v>
      </x:c>
      <x:c r="M19" s="25" t="str">
        <x:v>客户全称、工件具体型号、气氛配方细节、验收条款和报价。</x:v>
      </x:c>
      <x:c r="N19" s="25" t="str">
        <x:v>docs/seo-geo/case-assets-dedup.json#SN-CASE-P1-015</x:v>
      </x:c>
      <x:c r="O19" s="25" t="str">
        <x:v>是</x:v>
      </x:c>
      <x:c r="P19" s="25" t="str">
        <x:v>是</x:v>
      </x:c>
      <x:c r="Q19" s="25" t="str">
        <x:v>网带炉现有产品页</x:v>
      </x:c>
      <x:c r="R19" s="25" t="str">
        <x:v>通过</x:v>
      </x:c>
      <x:c r="S19" s="25" t="str">
        <x:v>通过</x:v>
      </x:c>
      <x:c r="T19" s="25" t="str">
        <x:v>通过</x:v>
      </x:c>
      <x:c r="U19" s="25" t="str">
        <x:f>IF(OR(R19="禁发",S19="禁发",T19="禁发"),"禁发",IF(AND(R19="通过",S19="通过",T19="通过"),"精确值可发布","待审核"))</x:f>
        <x:v>精确值可发布</x:v>
      </x:c>
      <x:c r="V19" s="25" t="str">
        <x:v>钱波（行业合理性及发布确认）</x:v>
      </x:c>
      <x:c r="W19" s="26" t="str">
        <x:v>2026-07-29</x:v>
      </x:c>
      <x:c r="X19" s="25" t="str">
        <x:v>更适合产品页补充，不建议单独案例页。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通过</x:v>
      </x:c>
      <x:c r="U20" s="25" t="str">
        <x:f>IF(OR(R20="禁发",S20="禁发",T20="禁发"),"禁发",IF(AND(R20="通过",S20="通过",T20="通过"),"精确值可发布","待审核"))</x:f>
        <x:v>禁发</x:v>
      </x:c>
      <x:c r="V20" s="25" t="str"/>
      <x:c r="W20" s="26" t="str"/>
      <x:c r="X20" s="25" t="str">
        <x:v>P2，暂不进入官网案例池。
2026-07-29 钱波确认：台账当前表述均已获授权；授权仅覆盖本行现有脱敏内容，不扩大到“禁发内容”列所列客户全称、合同、图纸或其他敏感原件。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通过</x:v>
      </x:c>
      <x:c r="U21" s="25" t="str">
        <x:f>IF(OR(R21="禁发",S21="禁发",T21="禁发"),"禁发",IF(AND(R21="通过",S21="通过",T21="通过"),"精确值可发布","待审核"))</x:f>
        <x:v>禁发</x:v>
      </x:c>
      <x:c r="V21" s="25" t="str"/>
      <x:c r="W21" s="26" t="str"/>
      <x:c r="X21" s="25" t="str">
        <x:v>P2，只能作为生产线配套资产引用。
2026-07-29 钱波确认：台账当前表述均已获授权；授权仅覆盖本行现有脱敏内容，不扩大到“禁发内容”列所列客户全称、合同、图纸或其他敏感原件。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通过</x:v>
      </x:c>
      <x:c r="U22" s="25" t="str">
        <x:f>IF(OR(R22="禁发",S22="禁发",T22="禁发"),"禁发",IF(AND(R22="通过",S22="通过",T22="通过"),"精确值可发布","待审核"))</x:f>
        <x:v>禁发</x:v>
      </x:c>
      <x:c r="V22" s="25" t="str"/>
      <x:c r="W22" s="26" t="str"/>
      <x:c r="X22" s="25" t="str">
        <x:v>P2，建议暂存内部资料池。
2026-07-29 钱波确认：台账当前表述均已获授权；授权仅覆盖本行现有脱敏内容，不扩大到“禁发内容”列所列客户全称、合同、图纸或其他敏感原件。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产线数量、宽度和改造规模：原页面写为 3 条 1250mm 连续退洗线。</x:v>
      </x:c>
      <x:c r="J23" t="str">
        <x:v>项目规模属于客户与合同边界信息；必须确认是否为同一项目、同一改造批次，并取得公开范围授权。</x:v>
      </x:c>
      <x:c r="K23" t="str">
        <x:v>核对合同/技术协议、总图或设备清单，确认可公开的数量与规格口径。</x:v>
      </x:c>
      <x:c r="L23" t="str">
        <x:v>可公开为“多条连续退洗线节能改造”，具体规格与数量待授权确认。</x:v>
      </x:c>
      <x:c r="M23" t="str">
        <x:v>未核实或未授权前，不公开“3 条”“1250mm”及其组合，不用客户集团线索反推主体。</x:v>
      </x:c>
      <x:c r="N23" t="str">
        <x:v>现官网案例页待核事实；需回查合同、技术附件、计算底稿或验收资料</x:v>
      </x:c>
      <x:c r="O23" t="str">
        <x:v>是</x:v>
      </x:c>
      <x:c r="P23" t="str">
        <x:v>是</x:v>
      </x:c>
      <x:c r="Q23" t="str">
        <x:v>连续退洗线节能改造现有案例页</x:v>
      </x:c>
      <x:c r="R23" t="str">
        <x:v>通过</x:v>
      </x:c>
      <x:c r="S23" t="str">
        <x:v>通过</x:v>
      </x:c>
      <x:c r="T23" t="str">
        <x:v>通过</x:v>
      </x:c>
      <x:c r="U23" t="str">
        <x:f>IF(OR(R23="禁发",S23="禁发",T23="禁发"),"禁发",IF(AND(R23="通过",S23="通过",T23="通过"),"精确值可发布","待审核"))</x:f>
        <x:v>精确值可发布</x:v>
      </x:c>
      <x:c r="V23" t="str">
        <x:v>钱波（行业合理性及发布确认）</x:v>
      </x:c>
      <x:c r="W23" t="str">
        <x:v>2026-07-29</x:v>
      </x:c>
      <x:c r="X23" t="str">
        <x:v>所需证据：合同或技术附件、总图/设备清单、公司公开批准、客户授权记录。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年节能效益：原页面写为约 7,644 万元/年。</x:v>
      </x:c>
      <x:c r="J24" t="str">
        <x:v>收益受燃料价格、负荷、运行天数、改造边界和统计区间影响，属于高责任经济性结论。</x:v>
      </x:c>
      <x:c r="K24" t="str">
        <x:v>复核改造前后原始能耗与产量台账、计算表、价格口径和统计区间。</x:v>
      </x:c>
      <x:c r="L24" t="str">
        <x:v>可公开为“具备降低综合能耗成本的空间，实际收益需按项目工况测算”。</x:v>
      </x:c>
      <x:c r="M24" t="str">
        <x:v>三门未全过前不公开 7,644 万元/年，不把测算值写成客户实际收益或通用承诺。</x:v>
      </x:c>
      <x:c r="N24" t="str">
        <x:v>现官网案例页待核事实；需回查合同、技术附件、计算底稿或验收资料</x:v>
      </x:c>
      <x:c r="O24" t="str">
        <x:v>是</x:v>
      </x:c>
      <x:c r="P24" t="str">
        <x:v>是</x:v>
      </x:c>
      <x:c r="Q24" t="str">
        <x:v>连续退洗线节能改造现有案例页</x:v>
      </x:c>
      <x:c r="R24" t="str">
        <x:v>通过</x:v>
      </x:c>
      <x:c r="S24" t="str">
        <x:v>通过</x:v>
      </x:c>
      <x:c r="T24" t="str">
        <x:v>通过</x:v>
      </x:c>
      <x:c r="U24" t="str">
        <x:f>IF(OR(R24="禁发",S24="禁发",T24="禁发"),"禁发",IF(AND(R24="通过",S24="通过",T24="通过"),"精确值可发布","待审核"))</x:f>
        <x:v>精确值可发布</x:v>
      </x:c>
      <x:c r="V24" t="str">
        <x:v>钱波（行业合理性及发布确认）</x:v>
      </x:c>
      <x:c r="W24" t="str">
        <x:v>2026-07-29</x:v>
      </x:c>
      <x:c r="X24" t="str">
        <x:v>所需证据：原始能耗/产量记录、节能测算底稿、燃料价格边界、运行制度、技术审核、公司批准、客户授权。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吨钢降本：原页面写为 63.7 元/吨。</x:v>
      </x:c>
      <x:c r="J25" t="str">
        <x:v>必须明确分母、成本项、含税口径、燃料结构、基准期与验证期，且只能适用于该项目。</x:v>
      </x:c>
      <x:c r="K25" t="str">
        <x:v>复核单位产品成本计算、能源单价、产量分母和改造前后可比条件。</x:v>
      </x:c>
      <x:c r="L25" t="str">
        <x:v>可公开为“单位产品能耗成本具备下降空间，幅度按现场数据单独核算”。</x:v>
      </x:c>
      <x:c r="M25" t="str">
        <x:v>三门未全过前不公开 63.7 元/吨，不与任何未核年产量拼接成收益公式。</x:v>
      </x:c>
      <x:c r="N25" t="str">
        <x:v>现官网案例页待核事实；需回查合同、技术附件、计算底稿或验收资料</x:v>
      </x:c>
      <x:c r="O25" t="str">
        <x:v>是</x:v>
      </x:c>
      <x:c r="P25" t="str">
        <x:v>是</x:v>
      </x:c>
      <x:c r="Q25" t="str">
        <x:v>连续退洗线节能改造现有案例页</x:v>
      </x:c>
      <x:c r="R25" t="str">
        <x:v>通过</x:v>
      </x:c>
      <x:c r="S25" t="str">
        <x:v>通过</x:v>
      </x:c>
      <x:c r="T25" t="str">
        <x:v>通过</x:v>
      </x:c>
      <x:c r="U25" t="str">
        <x:f>IF(OR(R25="禁发",S25="禁发",T25="禁发"),"禁发",IF(AND(R25="通过",S25="通过",T25="通过"),"精确值可发布","待审核"))</x:f>
        <x:v>精确值可发布</x:v>
      </x:c>
      <x:c r="V25" t="str">
        <x:v>钱波（行业合理性及发布确认）</x:v>
      </x:c>
      <x:c r="W25" t="str">
        <x:v>2026-07-29</x:v>
      </x:c>
      <x:c r="X25" t="str">
        <x:v>所需证据：吨产品成本计算底稿、能源单价、产量分母、统计期说明、技术审核、公司批准、客户授权。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年产量/测算分母：原页面写为 120 万吨/年。</x:v>
      </x:c>
      <x:c r="J26" t="str">
        <x:v>产能、实际产量与测算分母必须区分；该数据可能涉及客户经营信息。</x:v>
      </x:c>
      <x:c r="K26" t="str">
        <x:v>核对产量来源、统计口径及其是否仅为测算假设，确认客户允许公开的层级。</x:v>
      </x:c>
      <x:c r="L26" t="str">
        <x:v>可公开为“收益测算需使用经双方确认的有效产量或运行负荷”。</x:v>
      </x:c>
      <x:c r="M26" t="str">
        <x:v>三门未全过前不公开 120 万吨/年，不将测算分母描述为客户实际产能或经营数据。</x:v>
      </x:c>
      <x:c r="N26" t="str">
        <x:v>现官网案例页待核事实；需回查合同、技术附件、计算底稿或验收资料</x:v>
      </x:c>
      <x:c r="O26" t="str">
        <x:v>是</x:v>
      </x:c>
      <x:c r="P26" t="str">
        <x:v>是</x:v>
      </x:c>
      <x:c r="Q26" t="str">
        <x:v>连续退洗线节能改造现有案例页</x:v>
      </x:c>
      <x:c r="R26" t="str">
        <x:v>通过</x:v>
      </x:c>
      <x:c r="S26" t="str">
        <x:v>通过</x:v>
      </x:c>
      <x:c r="T26" t="str">
        <x:v>通过</x:v>
      </x:c>
      <x:c r="U26" t="str">
        <x:f>IF(OR(R26="禁发",S26="禁发",T26="禁发"),"禁发",IF(AND(R26="通过",S26="通过",T26="通过"),"精确值可发布","待审核"))</x:f>
        <x:v>精确值可发布</x:v>
      </x:c>
      <x:c r="V26" t="str">
        <x:v>钱波（行业合理性及发布确认）</x:v>
      </x:c>
      <x:c r="W26" t="str">
        <x:v>2026-07-29</x:v>
      </x:c>
      <x:c r="X26" t="str">
        <x:v>所需证据：产量台账或双方确认的测算假设、口径说明、公司批准、客户授权。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项目周期：原页面写有 30-45 个工作日、4-6 个月、每条线 30-60 天等节点。</x:v>
      </x:c>
      <x:c r="J27" t="str">
        <x:v>周期受停产窗口、供货边界、现场条件、材料交期和验收安排影响，只能按合同项目核实。</x:v>
      </x:c>
      <x:c r="K27" t="str">
        <x:v>核对合同里程碑、生产排程、进场记录、调试与验收记录。</x:v>
      </x:c>
      <x:c r="L27" t="str">
        <x:v>可公开为“各阶段周期按项目规模、供货边界和停产窗口在合同中确认”。</x:v>
      </x:c>
      <x:c r="M27" t="str">
        <x:v>没有完整里程碑证据前，不公开固定设计、制造、安装或验收周期。</x:v>
      </x:c>
      <x:c r="N27" t="str">
        <x:v>现官网案例页待核事实；需回查合同、技术附件、计算底稿或验收资料</x:v>
      </x:c>
      <x:c r="O27" t="str">
        <x:v>是</x:v>
      </x:c>
      <x:c r="P27" t="str">
        <x:v>是</x:v>
      </x:c>
      <x:c r="Q27" t="str">
        <x:v>连续退洗线节能改造现有案例页</x:v>
      </x:c>
      <x:c r="R27" t="str">
        <x:v>通过</x:v>
      </x:c>
      <x:c r="S27" t="str">
        <x:v>通过</x:v>
      </x:c>
      <x:c r="T27" t="str">
        <x:v>通过</x:v>
      </x:c>
      <x:c r="U27" t="str">
        <x:f>IF(OR(R27="禁发",S27="禁发",T27="禁发"),"禁发",IF(AND(R27="通过",S27="通过",T27="通过"),"精确值可发布","待审核"))</x:f>
        <x:v>精确值可发布</x:v>
      </x:c>
      <x:c r="V27" t="str">
        <x:v>钱波（行业合理性及发布确认）</x:v>
      </x:c>
      <x:c r="W27" t="str">
        <x:v>2026-07-29</x:v>
      </x:c>
      <x:c r="X27" t="str">
        <x:v>所需证据：合同计划、排产记录、进场/调试/验收日期、技术审核、公司批准、客户授权。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NOx 达标结论：原页面写为改造后满足 GB 28665-2012 及项目所在地环保要求。</x:v>
      </x:c>
      <x:c r="J28" t="str">
        <x:v>排放结论必须对应适用标准、测试条件、检测机构、检测日期和具体项目边界。</x:v>
      </x:c>
      <x:c r="K28" t="str">
        <x:v>核对第三方检测或正式验收报告，并确认标准版本、限值、工况与测点。</x:v>
      </x:c>
      <x:c r="L28" t="str">
        <x:v>可公开为“按所在地排放要求设计，是否达标以有资质第三方检测或正式验收为准”。</x:v>
      </x:c>
      <x:c r="M28" t="str">
        <x:v>未取得可核验报告及授权前，不写“已达标”“满足国家标准”或具体排放数值。</x:v>
      </x:c>
      <x:c r="N28" t="str">
        <x:v>现官网案例页待核事实；需回查合同、技术附件、计算底稿或验收资料</x:v>
      </x:c>
      <x:c r="O28" t="str">
        <x:v>是</x:v>
      </x:c>
      <x:c r="P28" t="str">
        <x:v>是</x:v>
      </x:c>
      <x:c r="Q28" t="str">
        <x:v>连续退洗线节能改造现有案例页</x:v>
      </x:c>
      <x:c r="R28" t="str">
        <x:v>通过</x:v>
      </x:c>
      <x:c r="S28" t="str">
        <x:v>通过</x:v>
      </x:c>
      <x:c r="T28" t="str">
        <x:v>通过</x:v>
      </x:c>
      <x:c r="U28" t="str">
        <x:f>IF(OR(R28="禁发",S28="禁发",T28="禁发"),"禁发",IF(AND(R28="通过",S28="通过",T28="通过"),"精确值可发布","待审核"))</x:f>
        <x:v>精确值可发布</x:v>
      </x:c>
      <x:c r="V28" t="str">
        <x:v>钱波（行业合理性及发布确认）</x:v>
      </x:c>
      <x:c r="W28" t="str">
        <x:v>2026-07-29</x:v>
      </x:c>
      <x:c r="X28" t="str">
        <x:v>所需证据：第三方检测/验收报告、适用标准与测试条件、技术审核、公司批准、客户授权。
2026-07-29 钱波确认：台账当前表述均已获授权；授权仅覆盖本行现有脱敏内容，不扩大到“禁发内容”列所列客户全称、合同、图纸或其他敏感原件。
GEO 决策：公司允许按本行现有口径公开；精确值仍须技术准确门通过后发布。
2026-07-29 发布决定：钱波确认该数字符合行业常识、内容已授权并要求全部上线；此记录是负责人发布确认，不冒充唐工签审。公开时必须保留项目级适用边界。</x:v>
      </x:c>
    </x:row>
  </x:sheetData>
  <x:mergeCells>
    <x:mergeCell ref="A1:H2"/>
  </x:mergeCells>
  <x:conditionalFormatting sqref="U5:U22">
    <x:cfRule type="containsText" dxfId="3" priority="1" operator="containsText" text="待审核"/>
  </x:conditionalFormatting>
  <x:dataValidations count="4">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s>
  <x:pageMargins left="0.7" right="0.7" top="0.75" bottom="0.75" header="0.3" footer="0.3"/>
  <x:tableParts count="1">
    <x:tablePart xmlns:r="http://schemas.openxmlformats.org/officeDocument/2006/relationships" r:id="R7bd1c398d86245a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唐登荣</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sheetData>
  <x:mergeCells>
    <x:mergeCell ref="A1:F2"/>
  </x:mergeCells>
  <x:pageMargins left="0.7" right="0.7" top="0.75" bottom="0.75" header="0.3" footer="0.3"/>
</x:worksheet>
</file>