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c42c21ff2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词地图" sheetId="1" r:id="R25f3ab2fc17049b4"/>
    <x:sheet xmlns:r="http://schemas.openxmlformats.org/officeDocument/2006/relationships" name="集群汇总" sheetId="2" r:id="R10bc7793271e4569"/>
    <x:sheet xmlns:r="http://schemas.openxmlformats.org/officeDocument/2006/relationships" name="说明与口径" sheetId="3" r:id="Ra6a981fa0d07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44054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D7172F"/>
      </x:patternFill>
    </x:fill>
  </x:fills>
  <x:borders count="3">
    <x:border/>
    <x:border>
      <x:left style="thin">
        <x:color rgb="FFC4CBD5"/>
      </x:left>
      <x:right style="thin">
        <x:color rgb="FFC4CBD5"/>
      </x:right>
      <x:top style="thin">
        <x:color rgb="FFC4CBD5"/>
      </x:top>
      <x:bottom style="thin">
        <x:color rgb="FFC4CBD5"/>
      </x:bottom>
    </x:border>
    <x:border>
      <x:left style="thin">
        <x:color rgb="FFE1E6ED"/>
      </x:left>
      <x:right style="thin">
        <x:color rgb="FFE1E6ED"/>
      </x:right>
      <x:top style="thin">
        <x:color rgb="FFE1E6ED"/>
      </x:top>
      <x:bottom style="thin">
        <x:color rgb="FFE1E6E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7EA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57182333f4e71" /><Relationship Type="http://schemas.openxmlformats.org/officeDocument/2006/relationships/theme" Target="/xl/theme/theme1.xml" Id="Rc031340baa2e4eff" /><Relationship Type="http://schemas.openxmlformats.org/officeDocument/2006/relationships/sharedStrings" Target="/xl/sharedStrings.xml" Id="R070320e1b93e4dba" /><Relationship Type="http://schemas.openxmlformats.org/officeDocument/2006/relationships/worksheet" Target="/xl/worksheets/sheet1.xml" Id="R25f3ab2fc17049b4" /><Relationship Type="http://schemas.openxmlformats.org/officeDocument/2006/relationships/worksheet" Target="/xl/worksheets/sheet2.xml" Id="R10bc7793271e4569" /><Relationship Type="http://schemas.openxmlformats.org/officeDocument/2006/relationships/worksheet" Target="/xl/worksheets/sheet3.xml" Id="Ra6a981fa0d07424c" /></Relationships>
</file>

<file path=xl/tables/table1.xml><?xml version="1.0" encoding="utf-8"?>
<x:table xmlns:x="http://schemas.openxmlformats.org/spreadsheetml/2006/main" id="1" name="KeywordMap" displayName="KeywordMap" ref="A4:S79" headerRowCount="1" totalsRowCount="0" totalsRowShown="0">
  <x:tableColumns count="19">
    <x:tableColumn id="1" name="URL"/>
    <x:tableColumn id="2" name="语言"/>
    <x:tableColumn id="3" name="页面类型"/>
    <x:tableColumn id="4" name="主关键词"/>
    <x:tableColumn id="5" name="次关键词"/>
    <x:tableColumn id="6" name="搜索意图"/>
    <x:tableColumn id="7" name="主题集群"/>
    <x:tableColumn id="8" name="已有入口/内链来源"/>
    <x:tableColumn id="9" name="建议正文出链"/>
    <x:tableColumn id="10" name="收录状态"/>
    <x:tableColumn id="11" name="内容状态"/>
    <x:tableColumn id="12" name="GSC 展现"/>
    <x:tableColumn id="13" name="GSC 点击"/>
    <x:tableColumn id="14" name="GSC 平均排名"/>
    <x:tableColumn id="15" name="GSC 数据日期"/>
    <x:tableColumn id="16" name="责任人"/>
    <x:tableColumn id="17" name="优先级"/>
    <x:tableColumn id="18" name="下一步"/>
    <x:tableColumn id="19" name="证据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ed4a5afdcb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" hidden="0" customWidth="1"/>
    <x:col min="3" max="3" width="13" hidden="0" customWidth="1"/>
    <x:col min="4" max="4" width="28" hidden="0" customWidth="1"/>
    <x:col min="5" max="5" width="34" hidden="0" customWidth="1"/>
    <x:col min="6" max="6" width="14" hidden="0" customWidth="1"/>
    <x:col min="7" max="7" width="18" hidden="0" customWidth="1"/>
    <x:col min="8" max="8" width="31" hidden="0" customWidth="1"/>
    <x:col min="9" max="9" width="31" hidden="0" customWidth="1"/>
    <x:col min="10" max="10" width="14" hidden="0" customWidth="1"/>
    <x:col min="11" max="11" width="12" hidden="0" customWidth="1"/>
    <x:col min="12" max="12" width="11" hidden="0" customWidth="1"/>
    <x:col min="13" max="13" width="11" hidden="0" customWidth="1"/>
    <x:col min="14" max="14" width="13" hidden="0" customWidth="1"/>
    <x:col min="15" max="15" width="14" hidden="0" customWidth="1"/>
    <x:col min="16" max="16" width="10" hidden="0" customWidth="1"/>
    <x:col min="17" max="17" width="9" hidden="0" customWidth="1"/>
    <x:col min="18" max="18" width="34" hidden="0" customWidth="1"/>
    <x:col min="19" max="19" width="36" hidden="0" customWidth="1"/>
  </x:cols>
  <x:sheetData>
    <x:row r="1" ht="34" customHeight="1">
      <x:c r="A1" s="3" t="str">
        <x:v>苏能官网 SEO / GEO 关键词运营地图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目标口径：75 个可索引正式 URL｜基于 2026-08-04 生产 sitemap｜GSC 数据未接入前不填猜测值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6" customHeight="1">
      <x:c r="A4" s="11" t="str">
        <x:v>URL</x:v>
      </x:c>
      <x:c r="B4" s="11" t="str">
        <x:v>语言</x:v>
      </x:c>
      <x:c r="C4" s="11" t="str">
        <x:v>页面类型</x:v>
      </x:c>
      <x:c r="D4" s="11" t="str">
        <x:v>主关键词</x:v>
      </x:c>
      <x:c r="E4" s="11" t="str">
        <x:v>次关键词</x:v>
      </x:c>
      <x:c r="F4" s="11" t="str">
        <x:v>搜索意图</x:v>
      </x:c>
      <x:c r="G4" s="11" t="str">
        <x:v>主题集群</x:v>
      </x:c>
      <x:c r="H4" s="11" t="str">
        <x:v>已有入口/内链来源</x:v>
      </x:c>
      <x:c r="I4" s="11" t="str">
        <x:v>建议正文出链</x:v>
      </x:c>
      <x:c r="J4" s="11" t="str">
        <x:v>收录状态</x:v>
      </x:c>
      <x:c r="K4" s="11" t="str">
        <x:v>内容状态</x:v>
      </x:c>
      <x:c r="L4" s="11" t="str">
        <x:v>GSC 展现</x:v>
      </x:c>
      <x:c r="M4" s="11" t="str">
        <x:v>GSC 点击</x:v>
      </x:c>
      <x:c r="N4" s="11" t="str">
        <x:v>GSC 平均排名</x:v>
      </x:c>
      <x:c r="O4" s="11" t="str">
        <x:v>GSC 数据日期</x:v>
      </x:c>
      <x:c r="P4" s="11" t="str">
        <x:v>责任人</x:v>
      </x:c>
      <x:c r="Q4" s="11" t="str">
        <x:v>优先级</x:v>
      </x:c>
      <x:c r="R4" s="11" t="str">
        <x:v>下一步</x:v>
      </x:c>
      <x:c r="S4" s="11" t="str">
        <x:v>证据/备注</x:v>
      </x:c>
    </x:row>
    <x:row r="5" ht="42" customHeight="1">
      <x:c r="A5" s="15" t="str">
        <x:v>https://www.jssngyl.cn/zh</x:v>
      </x:c>
      <x:c r="B5" s="15" t="str">
        <x:v>zh</x:v>
      </x:c>
      <x:c r="C5" s="15" t="str">
        <x:v>首页</x:v>
      </x:c>
      <x:c r="D5" s="15" t="str">
        <x:v>江苏苏能工业炉</x:v>
      </x:c>
      <x:c r="E5" s="15" t="str">
        <x:v>工业炉厂家；江苏热处理炉；企业资质；制造能力</x:v>
      </x:c>
      <x:c r="F5" s="15" t="str">
        <x:v>信息查询</x:v>
      </x:c>
      <x:c r="G5" s="15" t="str">
        <x:v>品牌与厂家信任</x:v>
      </x:c>
      <x:c r="H5" s="15" t="str">
        <x:v>主导航；首页或相关主题页</x:v>
      </x:c>
      <x:c r="I5" s="15" t="str">
        <x:v>产品中心；报价参数；联系页</x:v>
      </x:c>
      <x:c r="J5" s="15" t="str">
        <x:v>待 GSC 核验</x:v>
      </x:c>
      <x:c r="K5" s="15" t="str">
        <x:v>已上线</x:v>
      </x:c>
      <x:c r="L5" s="15"/>
      <x:c r="M5" s="15"/>
      <x:c r="N5" s="15"/>
      <x:c r="O5" s="15"/>
      <x:c r="P5" s="15" t="str">
        <x:v>钱波</x:v>
      </x:c>
      <x:c r="Q5" s="15" t="str">
        <x:v>P0</x:v>
      </x:c>
      <x:c r="R5" s="15" t="str">
        <x:v>接入 GSC 后按查询词与展现决定下一步</x:v>
      </x:c>
      <x:c r="S5" s="15" t="str">
        <x:v>URL 来源：2026-08-04 生产 sitemap；已排除 4 个本轮归并/关闭路由</x:v>
      </x:c>
    </x:row>
    <x:row r="6" ht="42" customHeight="1">
      <x:c r="A6" s="15" t="str">
        <x:v>https://www.jssngyl.cn/en</x:v>
      </x:c>
      <x:c r="B6" s="15" t="str">
        <x:v>en</x:v>
      </x:c>
      <x:c r="C6" s="15" t="str">
        <x:v>首页</x:v>
      </x:c>
      <x:c r="D6" s="15" t="str">
        <x:v>Suneng Industrial Furnace</x:v>
      </x:c>
      <x:c r="E6" s="15" t="str">
        <x:v>industrial furnace manufacturer; heat-treatment equipment; manufacturing capability; company profile</x:v>
      </x:c>
      <x:c r="F6" s="15" t="str">
        <x:v>信息查询</x:v>
      </x:c>
      <x:c r="G6" s="15" t="str">
        <x:v>品牌与厂家信任</x:v>
      </x:c>
      <x:c r="H6" s="15" t="str">
        <x:v>主导航；首页或相关主题页</x:v>
      </x:c>
      <x:c r="I6" s="15" t="str">
        <x:v>产品中心；报价参数；联系页</x:v>
      </x:c>
      <x:c r="J6" s="15" t="str">
        <x:v>待 GSC 核验</x:v>
      </x:c>
      <x:c r="K6" s="15" t="str">
        <x:v>已上线</x:v>
      </x:c>
      <x:c r="L6" s="15"/>
      <x:c r="M6" s="15"/>
      <x:c r="N6" s="15"/>
      <x:c r="O6" s="15"/>
      <x:c r="P6" s="15" t="str">
        <x:v>钱波</x:v>
      </x:c>
      <x:c r="Q6" s="15" t="str">
        <x:v>P0</x:v>
      </x:c>
      <x:c r="R6" s="15" t="str">
        <x:v>上线后复核英文收录与展示</x:v>
      </x:c>
      <x:c r="S6" s="15" t="str">
        <x:v>URL 来源：2026-08-04 生产 sitemap；已排除 4 个本轮归并/关闭路由</x:v>
      </x:c>
    </x:row>
    <x:row r="7" ht="42" customHeight="1">
      <x:c r="A7" s="15" t="str">
        <x:v>https://www.jssngyl.cn/zh/products</x:v>
      </x:c>
      <x:c r="B7" s="15" t="str">
        <x:v>zh</x:v>
      </x:c>
      <x:c r="C7" s="15" t="str">
        <x:v>产品列表</x:v>
      </x:c>
      <x:c r="D7" s="15" t="str">
        <x:v>工业炉产品中心</x:v>
      </x:c>
      <x:c r="E7" s="15" t="str">
        <x:v>工业炉选型；炉膛尺寸；装炉量；工艺温度；报价参数</x:v>
      </x:c>
      <x:c r="F7" s="15" t="str">
        <x:v>信息查询</x:v>
      </x:c>
      <x:c r="G7" s="15" t="str">
        <x:v>炉型与产品选型</x:v>
      </x:c>
      <x:c r="H7" s="15" t="str">
        <x:v>主导航；首页或相关主题页</x:v>
      </x:c>
      <x:c r="I7" s="15" t="str">
        <x:v>产品中心；报价参数；联系页</x:v>
      </x:c>
      <x:c r="J7" s="15" t="str">
        <x:v>待 GSC 核验</x:v>
      </x:c>
      <x:c r="K7" s="15" t="str">
        <x:v>已上线</x:v>
      </x:c>
      <x:c r="L7" s="15"/>
      <x:c r="M7" s="15"/>
      <x:c r="N7" s="15"/>
      <x:c r="O7" s="15"/>
      <x:c r="P7" s="15" t="str">
        <x:v>钱波</x:v>
      </x:c>
      <x:c r="Q7" s="15" t="str">
        <x:v>P2</x:v>
      </x:c>
      <x:c r="R7" s="15" t="str">
        <x:v>接入 GSC 后按查询词与展现决定下一步</x:v>
      </x:c>
      <x:c r="S7" s="15" t="str">
        <x:v>URL 来源：2026-08-04 生产 sitemap；已排除 4 个本轮归并/关闭路由</x:v>
      </x:c>
    </x:row>
    <x:row r="8" ht="42" customHeight="1">
      <x:c r="A8" s="15" t="str">
        <x:v>https://www.jssngyl.cn/en/products</x:v>
      </x:c>
      <x:c r="B8" s="15" t="str">
        <x:v>en</x:v>
      </x:c>
      <x:c r="C8" s="15" t="str">
        <x:v>产品列表</x:v>
      </x:c>
      <x:c r="D8" s="15" t="str">
        <x:v>industrial furnace products</x:v>
      </x:c>
      <x:c r="E8" s="15" t="str">
        <x:v>industrial furnace selection; chamber size; charge load; process temperature; quotation inputs</x:v>
      </x:c>
      <x:c r="F8" s="15" t="str">
        <x:v>信息查询</x:v>
      </x:c>
      <x:c r="G8" s="15" t="str">
        <x:v>炉型与产品选型</x:v>
      </x:c>
      <x:c r="H8" s="15" t="str">
        <x:v>主导航；首页或相关主题页</x:v>
      </x:c>
      <x:c r="I8" s="15" t="str">
        <x:v>产品中心；报价参数；联系页</x:v>
      </x:c>
      <x:c r="J8" s="15" t="str">
        <x:v>待 GSC 核验</x:v>
      </x:c>
      <x:c r="K8" s="15" t="str">
        <x:v>已上线</x:v>
      </x:c>
      <x:c r="L8" s="15"/>
      <x:c r="M8" s="15"/>
      <x:c r="N8" s="15"/>
      <x:c r="O8" s="15"/>
      <x:c r="P8" s="15" t="str">
        <x:v>钱波</x:v>
      </x:c>
      <x:c r="Q8" s="15" t="str">
        <x:v>P2</x:v>
      </x:c>
      <x:c r="R8" s="15" t="str">
        <x:v>上线后复核英文收录与展示</x:v>
      </x:c>
      <x:c r="S8" s="15" t="str">
        <x:v>URL 来源：2026-08-04 生产 sitemap；已排除 4 个本轮归并/关闭路由</x:v>
      </x:c>
    </x:row>
    <x:row r="9" ht="42" customHeight="1">
      <x:c r="A9" s="15" t="str">
        <x:v>https://www.jssngyl.cn/zh/service</x:v>
      </x:c>
      <x:c r="B9" s="15" t="str">
        <x:v>zh</x:v>
      </x:c>
      <x:c r="C9" s="15" t="str">
        <x:v>服务列表</x:v>
      </x:c>
      <x:c r="D9" s="15" t="str">
        <x:v>工业炉售后服务</x:v>
      </x:c>
      <x:c r="E9" s="15" t="str">
        <x:v>工业炉厂家；江苏热处理炉；企业资质；制造能力</x:v>
      </x:c>
      <x:c r="F9" s="15" t="str">
        <x:v>信息查询</x:v>
      </x:c>
      <x:c r="G9" s="15" t="str">
        <x:v>品牌与厂家信任</x:v>
      </x:c>
      <x:c r="H9" s="15" t="str">
        <x:v>主导航；首页或相关主题页</x:v>
      </x:c>
      <x:c r="I9" s="15" t="str">
        <x:v>产品中心；报价参数；联系页</x:v>
      </x:c>
      <x:c r="J9" s="15" t="str">
        <x:v>待 GSC 核验</x:v>
      </x:c>
      <x:c r="K9" s="15" t="str">
        <x:v>已上线</x:v>
      </x:c>
      <x:c r="L9" s="15"/>
      <x:c r="M9" s="15"/>
      <x:c r="N9" s="15"/>
      <x:c r="O9" s="15"/>
      <x:c r="P9" s="15" t="str">
        <x:v>钱波</x:v>
      </x:c>
      <x:c r="Q9" s="15" t="str">
        <x:v>P1</x:v>
      </x:c>
      <x:c r="R9" s="15" t="str">
        <x:v>接入 GSC 后按查询词与展现决定下一步</x:v>
      </x:c>
      <x:c r="S9" s="15" t="str">
        <x:v>URL 来源：2026-08-04 生产 sitemap；已排除 4 个本轮归并/关闭路由</x:v>
      </x:c>
    </x:row>
    <x:row r="10" ht="42" customHeight="1">
      <x:c r="A10" s="15" t="str">
        <x:v>https://www.jssngyl.cn/en/service</x:v>
      </x:c>
      <x:c r="B10" s="15" t="str">
        <x:v>en</x:v>
      </x:c>
      <x:c r="C10" s="15" t="str">
        <x:v>服务列表</x:v>
      </x:c>
      <x:c r="D10" s="15" t="str">
        <x:v>industrial furnace service</x:v>
      </x:c>
      <x:c r="E10" s="15" t="str">
        <x:v>industrial furnace manufacturer; heat-treatment equipment; manufacturing capability; company profile</x:v>
      </x:c>
      <x:c r="F10" s="15" t="str">
        <x:v>信息查询</x:v>
      </x:c>
      <x:c r="G10" s="15" t="str">
        <x:v>品牌与厂家信任</x:v>
      </x:c>
      <x:c r="H10" s="15" t="str">
        <x:v>主导航；首页或相关主题页</x:v>
      </x:c>
      <x:c r="I10" s="15" t="str">
        <x:v>产品中心；报价参数；联系页</x:v>
      </x:c>
      <x:c r="J10" s="15" t="str">
        <x:v>待 GSC 核验</x:v>
      </x:c>
      <x:c r="K10" s="15" t="str">
        <x:v>已上线</x:v>
      </x:c>
      <x:c r="L10" s="15"/>
      <x:c r="M10" s="15"/>
      <x:c r="N10" s="15"/>
      <x:c r="O10" s="15"/>
      <x:c r="P10" s="15" t="str">
        <x:v>钱波</x:v>
      </x:c>
      <x:c r="Q10" s="15" t="str">
        <x:v>P1</x:v>
      </x:c>
      <x:c r="R10" s="15" t="str">
        <x:v>上线后复核英文收录与展示</x:v>
      </x:c>
      <x:c r="S10" s="15" t="str">
        <x:v>URL 来源：2026-08-04 生产 sitemap；已排除 4 个本轮归并/关闭路由</x:v>
      </x:c>
    </x:row>
    <x:row r="11" ht="42" customHeight="1">
      <x:c r="A11" s="15" t="str">
        <x:v>https://www.jssngyl.cn/zh/news</x:v>
      </x:c>
      <x:c r="B11" s="15" t="str">
        <x:v>zh</x:v>
      </x:c>
      <x:c r="C11" s="15" t="str">
        <x:v>资料列表</x:v>
      </x:c>
      <x:c r="D11" s="15" t="str">
        <x:v>工业炉选型与改造资料</x:v>
      </x:c>
      <x:c r="E11" s="15" t="str">
        <x:v>工业炉大修；节能改造；停产周期；FAT/SAT；改造验收</x:v>
      </x:c>
      <x:c r="F11" s="15" t="str">
        <x:v>信息查询</x:v>
      </x:c>
      <x:c r="G11" s="15" t="str">
        <x:v>工业炉改造</x:v>
      </x:c>
      <x:c r="H11" s="15" t="str">
        <x:v>主导航；首页或相关主题页</x:v>
      </x:c>
      <x:c r="I11" s="15" t="str">
        <x:v>改造服务；修还是换；改造风险；联系页</x:v>
      </x:c>
      <x:c r="J11" s="15" t="str">
        <x:v>待 GSC 核验</x:v>
      </x:c>
      <x:c r="K11" s="15" t="str">
        <x:v>已上线</x:v>
      </x:c>
      <x:c r="L11" s="15"/>
      <x:c r="M11" s="15"/>
      <x:c r="N11" s="15"/>
      <x:c r="O11" s="15"/>
      <x:c r="P11" s="15" t="str">
        <x:v>钱波</x:v>
      </x:c>
      <x:c r="Q11" s="15" t="str">
        <x:v>P2</x:v>
      </x:c>
      <x:c r="R11" s="15" t="str">
        <x:v>接入 GSC 后按查询词与展现决定下一步</x:v>
      </x:c>
      <x:c r="S11" s="15" t="str">
        <x:v>URL 来源：2026-08-04 生产 sitemap；已排除 4 个本轮归并/关闭路由</x:v>
      </x:c>
    </x:row>
    <x:row r="12" ht="42" customHeight="1">
      <x:c r="A12" s="15" t="str">
        <x:v>https://www.jssngyl.cn/zh/about</x:v>
      </x:c>
      <x:c r="B12" s="15" t="str">
        <x:v>zh</x:v>
      </x:c>
      <x:c r="C12" s="15" t="str">
        <x:v>公司介绍</x:v>
      </x:c>
      <x:c r="D12" s="15" t="str">
        <x:v>江苏苏能工业炉有限公司</x:v>
      </x:c>
      <x:c r="E12" s="15" t="str">
        <x:v>工业炉厂家；江苏热处理炉；企业资质；制造能力</x:v>
      </x:c>
      <x:c r="F12" s="15" t="str">
        <x:v>信息查询</x:v>
      </x:c>
      <x:c r="G12" s="15" t="str">
        <x:v>品牌与厂家信任</x:v>
      </x:c>
      <x:c r="H12" s="15" t="str">
        <x:v>主导航；首页或相关主题页</x:v>
      </x:c>
      <x:c r="I12" s="15" t="str">
        <x:v>产品中心；报价参数；联系页</x:v>
      </x:c>
      <x:c r="J12" s="15" t="str">
        <x:v>待 GSC 核验</x:v>
      </x:c>
      <x:c r="K12" s="15" t="str">
        <x:v>已上线</x:v>
      </x:c>
      <x:c r="L12" s="15"/>
      <x:c r="M12" s="15"/>
      <x:c r="N12" s="15"/>
      <x:c r="O12" s="15"/>
      <x:c r="P12" s="15" t="str">
        <x:v>钱波</x:v>
      </x:c>
      <x:c r="Q12" s="15" t="str">
        <x:v>P1</x:v>
      </x:c>
      <x:c r="R12" s="15" t="str">
        <x:v>接入 GSC 后按查询词与展现决定下一步</x:v>
      </x:c>
      <x:c r="S12" s="15" t="str">
        <x:v>URL 来源：2026-08-04 生产 sitemap；已排除 4 个本轮归并/关闭路由</x:v>
      </x:c>
    </x:row>
    <x:row r="13" ht="42" customHeight="1">
      <x:c r="A13" s="15" t="str">
        <x:v>https://www.jssngyl.cn/en/about</x:v>
      </x:c>
      <x:c r="B13" s="15" t="str">
        <x:v>en</x:v>
      </x:c>
      <x:c r="C13" s="15" t="str">
        <x:v>公司介绍</x:v>
      </x:c>
      <x:c r="D13" s="15" t="str">
        <x:v>about Suneng Industrial Furnace</x:v>
      </x:c>
      <x:c r="E13" s="15" t="str">
        <x:v>industrial furnace manufacturer; heat-treatment equipment; manufacturing capability; company profile</x:v>
      </x:c>
      <x:c r="F13" s="15" t="str">
        <x:v>信息查询</x:v>
      </x:c>
      <x:c r="G13" s="15" t="str">
        <x:v>品牌与厂家信任</x:v>
      </x:c>
      <x:c r="H13" s="15" t="str">
        <x:v>主导航；首页或相关主题页</x:v>
      </x:c>
      <x:c r="I13" s="15" t="str">
        <x:v>产品中心；报价参数；联系页</x:v>
      </x:c>
      <x:c r="J13" s="15" t="str">
        <x:v>待 GSC 核验</x:v>
      </x:c>
      <x:c r="K13" s="15" t="str">
        <x:v>已上线</x:v>
      </x:c>
      <x:c r="L13" s="15"/>
      <x:c r="M13" s="15"/>
      <x:c r="N13" s="15"/>
      <x:c r="O13" s="15"/>
      <x:c r="P13" s="15" t="str">
        <x:v>钱波</x:v>
      </x:c>
      <x:c r="Q13" s="15" t="str">
        <x:v>P1</x:v>
      </x:c>
      <x:c r="R13" s="15" t="str">
        <x:v>上线后复核英文收录与展示</x:v>
      </x:c>
      <x:c r="S13" s="15" t="str">
        <x:v>URL 来源：2026-08-04 生产 sitemap；已排除 4 个本轮归并/关闭路由</x:v>
      </x:c>
    </x:row>
    <x:row r="14" ht="42" customHeight="1">
      <x:c r="A14" s="15" t="str">
        <x:v>https://www.jssngyl.cn/zh/partner</x:v>
      </x:c>
      <x:c r="B14" s="15" t="str">
        <x:v>zh</x:v>
      </x:c>
      <x:c r="C14" s="15" t="str">
        <x:v>合作伙伴</x:v>
      </x:c>
      <x:c r="D14" s="15" t="str">
        <x:v>苏能工业炉合作伙伴</x:v>
      </x:c>
      <x:c r="E14" s="15" t="str">
        <x:v>工业炉厂家；江苏热处理炉；企业资质；制造能力</x:v>
      </x:c>
      <x:c r="F14" s="15" t="str">
        <x:v>信息查询</x:v>
      </x:c>
      <x:c r="G14" s="15" t="str">
        <x:v>品牌与厂家信任</x:v>
      </x:c>
      <x:c r="H14" s="15" t="str">
        <x:v>主导航；首页或相关主题页</x:v>
      </x:c>
      <x:c r="I14" s="15" t="str">
        <x:v>产品中心；报价参数；联系页</x:v>
      </x:c>
      <x:c r="J14" s="15" t="str">
        <x:v>待 GSC 核验</x:v>
      </x:c>
      <x:c r="K14" s="15" t="str">
        <x:v>已上线</x:v>
      </x:c>
      <x:c r="L14" s="15"/>
      <x:c r="M14" s="15"/>
      <x:c r="N14" s="15"/>
      <x:c r="O14" s="15"/>
      <x:c r="P14" s="15" t="str">
        <x:v>钱波</x:v>
      </x:c>
      <x:c r="Q14" s="15" t="str">
        <x:v>P1</x:v>
      </x:c>
      <x:c r="R14" s="15" t="str">
        <x:v>接入 GSC 后按查询词与展现决定下一步</x:v>
      </x:c>
      <x:c r="S14" s="15" t="str">
        <x:v>URL 来源：2026-08-04 生产 sitemap；已排除 4 个本轮归并/关闭路由</x:v>
      </x:c>
    </x:row>
    <x:row r="15" ht="42" customHeight="1">
      <x:c r="A15" s="15" t="str">
        <x:v>https://www.jssngyl.cn/zh/strength/honors</x:v>
      </x:c>
      <x:c r="B15" s="15" t="str">
        <x:v>zh</x:v>
      </x:c>
      <x:c r="C15" s="15" t="str">
        <x:v>企业实力</x:v>
      </x:c>
      <x:c r="D15" s="15" t="str">
        <x:v>苏能工业炉荣誉资质</x:v>
      </x:c>
      <x:c r="E15" s="15" t="str">
        <x:v>工业炉厂家；江苏热处理炉；企业资质；制造能力</x:v>
      </x:c>
      <x:c r="F15" s="15" t="str">
        <x:v>信息查询</x:v>
      </x:c>
      <x:c r="G15" s="15" t="str">
        <x:v>品牌与厂家信任</x:v>
      </x:c>
      <x:c r="H15" s="15" t="str">
        <x:v>主导航；首页或相关主题页</x:v>
      </x:c>
      <x:c r="I15" s="15" t="str">
        <x:v>产品中心；报价参数；联系页</x:v>
      </x:c>
      <x:c r="J15" s="15" t="str">
        <x:v>待 GSC 核验</x:v>
      </x:c>
      <x:c r="K15" s="15" t="str">
        <x:v>已上线</x:v>
      </x:c>
      <x:c r="L15" s="15"/>
      <x:c r="M15" s="15"/>
      <x:c r="N15" s="15"/>
      <x:c r="O15" s="15"/>
      <x:c r="P15" s="15" t="str">
        <x:v>钱波</x:v>
      </x:c>
      <x:c r="Q15" s="15" t="str">
        <x:v>P1</x:v>
      </x:c>
      <x:c r="R15" s="15" t="str">
        <x:v>接入 GSC 后按查询词与展现决定下一步</x:v>
      </x:c>
      <x:c r="S15" s="15" t="str">
        <x:v>URL 来源：2026-08-04 生产 sitemap；已排除 4 个本轮归并/关闭路由</x:v>
      </x:c>
    </x:row>
    <x:row r="16" ht="42" customHeight="1">
      <x:c r="A16" s="15" t="str">
        <x:v>https://www.jssngyl.cn/zh/contact</x:v>
      </x:c>
      <x:c r="B16" s="15" t="str">
        <x:v>zh</x:v>
      </x:c>
      <x:c r="C16" s="15" t="str">
        <x:v>联系/询盘</x:v>
      </x:c>
      <x:c r="D16" s="15" t="str">
        <x:v>工业炉厂家联系方式</x:v>
      </x:c>
      <x:c r="E16" s="15" t="str">
        <x:v>工业炉厂家；江苏热处理炉；企业资质；制造能力</x:v>
      </x:c>
      <x:c r="F16" s="15" t="str">
        <x:v>转化/联系</x:v>
      </x:c>
      <x:c r="G16" s="15" t="str">
        <x:v>品牌与厂家信任</x:v>
      </x:c>
      <x:c r="H16" s="15" t="str">
        <x:v>主导航；首页或相关主题页</x:v>
      </x:c>
      <x:c r="I16" s="15" t="str">
        <x:v>产品中心；报价参数；联系页</x:v>
      </x:c>
      <x:c r="J16" s="15" t="str">
        <x:v>待 GSC 核验</x:v>
      </x:c>
      <x:c r="K16" s="15" t="str">
        <x:v>已上线</x:v>
      </x:c>
      <x:c r="L16" s="15"/>
      <x:c r="M16" s="15"/>
      <x:c r="N16" s="15"/>
      <x:c r="O16" s="15"/>
      <x:c r="P16" s="15" t="str">
        <x:v>钱波</x:v>
      </x:c>
      <x:c r="Q16" s="15" t="str">
        <x:v>P0</x:v>
      </x:c>
      <x:c r="R16" s="15" t="str">
        <x:v>接入 GSC 后按查询词与展现决定下一步</x:v>
      </x:c>
      <x:c r="S16" s="15" t="str">
        <x:v>URL 来源：2026-08-04 生产 sitemap；已排除 4 个本轮归并/关闭路由</x:v>
      </x:c>
    </x:row>
    <x:row r="17" ht="42" customHeight="1">
      <x:c r="A17" s="15" t="str">
        <x:v>https://www.jssngyl.cn/en/contact</x:v>
      </x:c>
      <x:c r="B17" s="15" t="str">
        <x:v>en</x:v>
      </x:c>
      <x:c r="C17" s="15" t="str">
        <x:v>联系/询盘</x:v>
      </x:c>
      <x:c r="D17" s="15" t="str">
        <x:v>contact Suneng Industrial Furnace</x:v>
      </x:c>
      <x:c r="E17" s="15" t="str">
        <x:v>industrial furnace manufacturer; heat-treatment equipment; manufacturing capability; company profile</x:v>
      </x:c>
      <x:c r="F17" s="15" t="str">
        <x:v>转化/联系</x:v>
      </x:c>
      <x:c r="G17" s="15" t="str">
        <x:v>品牌与厂家信任</x:v>
      </x:c>
      <x:c r="H17" s="15" t="str">
        <x:v>主导航；首页或相关主题页</x:v>
      </x:c>
      <x:c r="I17" s="15" t="str">
        <x:v>产品中心；报价参数；联系页</x:v>
      </x:c>
      <x:c r="J17" s="15" t="str">
        <x:v>待 GSC 核验</x:v>
      </x:c>
      <x:c r="K17" s="15" t="str">
        <x:v>已上线</x:v>
      </x:c>
      <x:c r="L17" s="15"/>
      <x:c r="M17" s="15"/>
      <x:c r="N17" s="15"/>
      <x:c r="O17" s="15"/>
      <x:c r="P17" s="15" t="str">
        <x:v>钱波</x:v>
      </x:c>
      <x:c r="Q17" s="15" t="str">
        <x:v>P0</x:v>
      </x:c>
      <x:c r="R17" s="15" t="str">
        <x:v>上线后复核英文收录与展示</x:v>
      </x:c>
      <x:c r="S17" s="15" t="str">
        <x:v>URL 来源：2026-08-04 生产 sitemap；已排除 4 个本轮归并/关闭路由</x:v>
      </x:c>
    </x:row>
    <x:row r="18" ht="42" customHeight="1">
      <x:c r="A18" s="15" t="str">
        <x:v>https://www.jssngyl.cn/zh/service/furnace-renovation-overhaul</x:v>
      </x:c>
      <x:c r="B18" s="15" t="str">
        <x:v>zh</x:v>
      </x:c>
      <x:c r="C18" s="15" t="str">
        <x:v>专项服务</x:v>
      </x:c>
      <x:c r="D18" s="15" t="str">
        <x:v>工业炉节能改造与大修</x:v>
      </x:c>
      <x:c r="E18" s="15" t="str">
        <x:v>工业炉大修；节能改造；停产周期；FAT/SAT；改造验收</x:v>
      </x:c>
      <x:c r="F18" s="15" t="str">
        <x:v>商业调研</x:v>
      </x:c>
      <x:c r="G18" s="15" t="str">
        <x:v>工业炉改造</x:v>
      </x:c>
      <x:c r="H18" s="15" t="str">
        <x:v>主导航；首页或相关主题页</x:v>
      </x:c>
      <x:c r="I18" s="15" t="str">
        <x:v>改造服务；修还是换；改造风险；联系页</x:v>
      </x:c>
      <x:c r="J18" s="15" t="str">
        <x:v>待 GSC 核验</x:v>
      </x:c>
      <x:c r="K18" s="15" t="str">
        <x:v>已上线</x:v>
      </x:c>
      <x:c r="L18" s="15"/>
      <x:c r="M18" s="15"/>
      <x:c r="N18" s="15"/>
      <x:c r="O18" s="15"/>
      <x:c r="P18" s="15" t="str">
        <x:v>钱波</x:v>
      </x:c>
      <x:c r="Q18" s="15" t="str">
        <x:v>P1</x:v>
      </x:c>
      <x:c r="R18" s="15" t="str">
        <x:v>接入 GSC 后按查询词与展现决定下一步</x:v>
      </x:c>
      <x:c r="S18" s="15" t="str">
        <x:v>URL 来源：2026-08-04 生产 sitemap；已排除 4 个本轮归并/关闭路由</x:v>
      </x:c>
    </x:row>
    <x:row r="19" ht="42" customHeight="1">
      <x:c r="A19" s="15" t="str">
        <x:v>https://www.jssngyl.cn/zh/articles/gongye-lu-baojia-canshu</x:v>
      </x:c>
      <x:c r="B19" s="15" t="str">
        <x:v>zh</x:v>
      </x:c>
      <x:c r="C19" s="15" t="str">
        <x:v>采购指南</x:v>
      </x:c>
      <x:c r="D19" s="15" t="str">
        <x:v>工业炉报价需要哪些参数</x:v>
      </x:c>
      <x:c r="E19" s="15" t="str">
        <x:v>工业炉厂家；江苏热处理炉；企业资质；制造能力</x:v>
      </x:c>
      <x:c r="F19" s="15" t="str">
        <x:v>方案判断</x:v>
      </x:c>
      <x:c r="G19" s="15" t="str">
        <x:v>品牌与厂家信任</x:v>
      </x:c>
      <x:c r="H19" s="15" t="str">
        <x:v>主导航；首页或相关主题页</x:v>
      </x:c>
      <x:c r="I19" s="15" t="str">
        <x:v>产品中心；报价参数；联系页</x:v>
      </x:c>
      <x:c r="J19" s="15" t="str">
        <x:v>待 GSC 核验</x:v>
      </x:c>
      <x:c r="K19" s="15" t="str">
        <x:v>已上线</x:v>
      </x:c>
      <x:c r="L19" s="15"/>
      <x:c r="M19" s="15"/>
      <x:c r="N19" s="15"/>
      <x:c r="O19" s="15"/>
      <x:c r="P19" s="15" t="str">
        <x:v>钱波</x:v>
      </x:c>
      <x:c r="Q19" s="15" t="str">
        <x:v>P1</x:v>
      </x:c>
      <x:c r="R19" s="15" t="str">
        <x:v>接入 GSC 后按查询词与展现决定下一步</x:v>
      </x:c>
      <x:c r="S19" s="15" t="str">
        <x:v>URL 来源：2026-08-04 生产 sitemap；已排除 4 个本轮归并/关闭路由</x:v>
      </x:c>
    </x:row>
    <x:row r="20" ht="42" customHeight="1">
      <x:c r="A20" s="15" t="str">
        <x:v>https://www.jssngyl.cn/zh/articles/laojiu-rechuli-lu-daxiu-haishi-maixin</x:v>
      </x:c>
      <x:c r="B20" s="15" t="str">
        <x:v>zh</x:v>
      </x:c>
      <x:c r="C20" s="15" t="str">
        <x:v>采购指南</x:v>
      </x:c>
      <x:c r="D20" s="15" t="str">
        <x:v>老旧热处理炉大修还是换新</x:v>
      </x:c>
      <x:c r="E20" s="15" t="str">
        <x:v>工业炉大修；节能改造；停产周期；FAT/SAT；改造验收</x:v>
      </x:c>
      <x:c r="F20" s="15" t="str">
        <x:v>方案判断</x:v>
      </x:c>
      <x:c r="G20" s="15" t="str">
        <x:v>工业炉改造</x:v>
      </x:c>
      <x:c r="H20" s="15" t="str">
        <x:v>主导航；首页或相关主题页</x:v>
      </x:c>
      <x:c r="I20" s="15" t="str">
        <x:v>改造服务；修还是换；改造风险；联系页</x:v>
      </x:c>
      <x:c r="J20" s="15" t="str">
        <x:v>待 GSC 核验</x:v>
      </x:c>
      <x:c r="K20" s="15" t="str">
        <x:v>已上线</x:v>
      </x:c>
      <x:c r="L20" s="15"/>
      <x:c r="M20" s="15"/>
      <x:c r="N20" s="15"/>
      <x:c r="O20" s="15"/>
      <x:c r="P20" s="15" t="str">
        <x:v>钱波</x:v>
      </x:c>
      <x:c r="Q20" s="15" t="str">
        <x:v>P1</x:v>
      </x:c>
      <x:c r="R20" s="15" t="str">
        <x:v>接入 GSC 后按查询词与展现决定下一步</x:v>
      </x:c>
      <x:c r="S20" s="15" t="str">
        <x:v>URL 来源：2026-08-04 生产 sitemap；已排除 4 个本轮归并/关闭路由</x:v>
      </x:c>
    </x:row>
    <x:row r="21" ht="42" customHeight="1">
      <x:c r="A21" s="15" t="str">
        <x:v>https://www.jssngyl.cn/zh/solutions/rechuli-lu-wendu-bujun-zhenggai</x:v>
      </x:c>
      <x:c r="B21" s="15" t="str">
        <x:v>zh</x:v>
      </x:c>
      <x:c r="C21" s="15" t="str">
        <x:v>权威方案</x:v>
      </x:c>
      <x:c r="D21" s="15" t="str">
        <x:v>热处理炉温度不均怎么整改</x:v>
      </x:c>
      <x:c r="E21" s="15" t="str">
        <x:v>工业炉大修；节能改造；停产周期；FAT/SAT；改造验收</x:v>
      </x:c>
      <x:c r="F21" s="15" t="str">
        <x:v>方案判断</x:v>
      </x:c>
      <x:c r="G21" s="15" t="str">
        <x:v>工业炉改造</x:v>
      </x:c>
      <x:c r="H21" s="15" t="str">
        <x:v>首页采购决策区；改造服务页；相关指南</x:v>
      </x:c>
      <x:c r="I21" s="15" t="str">
        <x:v>改造服务；修还是换；改造风险；联系页</x:v>
      </x:c>
      <x:c r="J21" s="15" t="str">
        <x:v>待 GSC 核验</x:v>
      </x:c>
      <x:c r="K21" s="15" t="str">
        <x:v>已上线</x:v>
      </x:c>
      <x:c r="L21" s="15"/>
      <x:c r="M21" s="15"/>
      <x:c r="N21" s="15"/>
      <x:c r="O21" s="15"/>
      <x:c r="P21" s="15" t="str">
        <x:v>钱波</x:v>
      </x:c>
      <x:c r="Q21" s="15" t="str">
        <x:v>P1</x:v>
      </x:c>
      <x:c r="R21" s="15" t="str">
        <x:v>接入 GSC 后按查询词与展现决定下一步</x:v>
      </x:c>
      <x:c r="S21" s="15" t="str">
        <x:v>URL 来源：2026-08-04 生产 sitemap；已排除 4 个本轮归并/关闭路由</x:v>
      </x:c>
    </x:row>
    <x:row r="22" ht="42" customHeight="1">
      <x:c r="A22" s="15" t="str">
        <x:v>https://www.jssngyl.cn/zh/solutions/rechuli-lu-gaizao-fengxian-zhouqi</x:v>
      </x:c>
      <x:c r="B22" s="15" t="str">
        <x:v>zh</x:v>
      </x:c>
      <x:c r="C22" s="15" t="str">
        <x:v>权威方案</x:v>
      </x:c>
      <x:c r="D22" s="15" t="str">
        <x:v>热处理炉改造风险与停产周期</x:v>
      </x:c>
      <x:c r="E22" s="15" t="str">
        <x:v>工业炉大修；节能改造；停产周期；FAT/SAT；改造验收</x:v>
      </x:c>
      <x:c r="F22" s="15" t="str">
        <x:v>方案判断</x:v>
      </x:c>
      <x:c r="G22" s="15" t="str">
        <x:v>工业炉改造</x:v>
      </x:c>
      <x:c r="H22" s="15" t="str">
        <x:v>首页采购决策区；改造服务页；相关指南</x:v>
      </x:c>
      <x:c r="I22" s="15" t="str">
        <x:v>改造服务；修还是换；改造风险；联系页</x:v>
      </x:c>
      <x:c r="J22" s="15" t="str">
        <x:v>待 GSC 核验</x:v>
      </x:c>
      <x:c r="K22" s="15" t="str">
        <x:v>已上线</x:v>
      </x:c>
      <x:c r="L22" s="15"/>
      <x:c r="M22" s="15"/>
      <x:c r="N22" s="15"/>
      <x:c r="O22" s="15"/>
      <x:c r="P22" s="15" t="str">
        <x:v>钱波</x:v>
      </x:c>
      <x:c r="Q22" s="15" t="str">
        <x:v>P1</x:v>
      </x:c>
      <x:c r="R22" s="15" t="str">
        <x:v>接入 GSC 后按查询词与展现决定下一步</x:v>
      </x:c>
      <x:c r="S22" s="15" t="str">
        <x:v>URL 来源：2026-08-04 生产 sitemap；已排除 4 个本轮归并/关闭路由</x:v>
      </x:c>
    </x:row>
    <x:row r="23" ht="42" customHeight="1">
      <x:c r="A23" s="15" t="str">
        <x:v>https://www.jssngyl.cn/zh/solutions/rechuli-lu-luchen-fanxin</x:v>
      </x:c>
      <x:c r="B23" s="15" t="str">
        <x:v>zh</x:v>
      </x:c>
      <x:c r="C23" s="15" t="str">
        <x:v>权威方案</x:v>
      </x:c>
      <x:c r="D23" s="15" t="str">
        <x:v>热处理炉炉衬翻新</x:v>
      </x:c>
      <x:c r="E23" s="15" t="str">
        <x:v>工业炉大修；节能改造；停产周期；FAT/SAT；改造验收</x:v>
      </x:c>
      <x:c r="F23" s="15" t="str">
        <x:v>方案判断</x:v>
      </x:c>
      <x:c r="G23" s="15" t="str">
        <x:v>工业炉改造</x:v>
      </x:c>
      <x:c r="H23" s="15" t="str">
        <x:v>首页采购决策区；改造服务页；相关指南</x:v>
      </x:c>
      <x:c r="I23" s="15" t="str">
        <x:v>改造服务；修还是换；改造风险；联系页</x:v>
      </x:c>
      <x:c r="J23" s="15" t="str">
        <x:v>待 GSC 核验</x:v>
      </x:c>
      <x:c r="K23" s="15" t="str">
        <x:v>已上线</x:v>
      </x:c>
      <x:c r="L23" s="15"/>
      <x:c r="M23" s="15"/>
      <x:c r="N23" s="15"/>
      <x:c r="O23" s="15"/>
      <x:c r="P23" s="15" t="str">
        <x:v>钱波</x:v>
      </x:c>
      <x:c r="Q23" s="15" t="str">
        <x:v>P1</x:v>
      </x:c>
      <x:c r="R23" s="15" t="str">
        <x:v>接入 GSC 后按查询词与展现决定下一步</x:v>
      </x:c>
      <x:c r="S23" s="15" t="str">
        <x:v>URL 来源：2026-08-04 生产 sitemap；已排除 4 个本轮归并/关闭路由</x:v>
      </x:c>
    </x:row>
    <x:row r="24" ht="42" customHeight="1">
      <x:c r="A24" s="15" t="str">
        <x:v>https://www.jssngyl.cn/zh/solutions/rechuli-lu-dian-gai-ran-yure-huishou</x:v>
      </x:c>
      <x:c r="B24" s="15" t="str">
        <x:v>zh</x:v>
      </x:c>
      <x:c r="C24" s="15" t="str">
        <x:v>权威方案</x:v>
      </x:c>
      <x:c r="D24" s="15" t="str">
        <x:v>热处理炉电改燃与余热回收</x:v>
      </x:c>
      <x:c r="E24" s="15" t="str">
        <x:v>工业炉大修；节能改造；停产周期；FAT/SAT；改造验收</x:v>
      </x:c>
      <x:c r="F24" s="15" t="str">
        <x:v>方案判断</x:v>
      </x:c>
      <x:c r="G24" s="15" t="str">
        <x:v>工业炉改造</x:v>
      </x:c>
      <x:c r="H24" s="15" t="str">
        <x:v>首页采购决策区；改造服务页；相关指南</x:v>
      </x:c>
      <x:c r="I24" s="15" t="str">
        <x:v>改造服务；修还是换；改造风险；联系页</x:v>
      </x:c>
      <x:c r="J24" s="15" t="str">
        <x:v>待 GSC 核验</x:v>
      </x:c>
      <x:c r="K24" s="15" t="str">
        <x:v>已上线</x:v>
      </x:c>
      <x:c r="L24" s="15"/>
      <x:c r="M24" s="15"/>
      <x:c r="N24" s="15"/>
      <x:c r="O24" s="15"/>
      <x:c r="P24" s="15" t="str">
        <x:v>钱波</x:v>
      </x:c>
      <x:c r="Q24" s="15" t="str">
        <x:v>P1</x:v>
      </x:c>
      <x:c r="R24" s="15" t="str">
        <x:v>接入 GSC 后按查询词与展现决定下一步</x:v>
      </x:c>
      <x:c r="S24" s="15" t="str">
        <x:v>URL 来源：2026-08-04 生产 sitemap；已排除 4 个本轮归并/关闭路由</x:v>
      </x:c>
    </x:row>
    <x:row r="25" ht="42" customHeight="1">
      <x:c r="A25" s="15" t="str">
        <x:v>https://www.jssngyl.cn/zh/solutions/rechuli-lu-kongzhi-xitong-shengji</x:v>
      </x:c>
      <x:c r="B25" s="15" t="str">
        <x:v>zh</x:v>
      </x:c>
      <x:c r="C25" s="15" t="str">
        <x:v>权威方案</x:v>
      </x:c>
      <x:c r="D25" s="15" t="str">
        <x:v>热处理炉控制系统升级</x:v>
      </x:c>
      <x:c r="E25" s="15" t="str">
        <x:v>工业炉大修；节能改造；停产周期；FAT/SAT；改造验收</x:v>
      </x:c>
      <x:c r="F25" s="15" t="str">
        <x:v>方案判断</x:v>
      </x:c>
      <x:c r="G25" s="15" t="str">
        <x:v>工业炉改造</x:v>
      </x:c>
      <x:c r="H25" s="15" t="str">
        <x:v>首页采购决策区；改造服务页；相关指南</x:v>
      </x:c>
      <x:c r="I25" s="15" t="str">
        <x:v>改造服务；修还是换；改造风险；联系页</x:v>
      </x:c>
      <x:c r="J25" s="15" t="str">
        <x:v>待 GSC 核验</x:v>
      </x:c>
      <x:c r="K25" s="15" t="str">
        <x:v>已上线</x:v>
      </x:c>
      <x:c r="L25" s="15"/>
      <x:c r="M25" s="15"/>
      <x:c r="N25" s="15"/>
      <x:c r="O25" s="15"/>
      <x:c r="P25" s="15" t="str">
        <x:v>钱波</x:v>
      </x:c>
      <x:c r="Q25" s="15" t="str">
        <x:v>P1</x:v>
      </x:c>
      <x:c r="R25" s="15" t="str">
        <x:v>接入 GSC 后按查询词与展现决定下一步</x:v>
      </x:c>
      <x:c r="S25" s="15" t="str">
        <x:v>URL 来源：2026-08-04 生产 sitemap；已排除 4 个本轮归并/关闭路由</x:v>
      </x:c>
    </x:row>
    <x:row r="26" ht="42" customHeight="1">
      <x:c r="A26" s="15" t="str">
        <x:v>https://www.jssngyl.cn/zh/solutions/rechuli-lu-tingchan-chongqi-banqian-fuchan</x:v>
      </x:c>
      <x:c r="B26" s="15" t="str">
        <x:v>zh</x:v>
      </x:c>
      <x:c r="C26" s="15" t="str">
        <x:v>权威方案</x:v>
      </x:c>
      <x:c r="D26" s="15" t="str">
        <x:v>热处理炉停产重启搬迁复产</x:v>
      </x:c>
      <x:c r="E26" s="15" t="str">
        <x:v>工业炉大修；节能改造；停产周期；FAT/SAT；改造验收</x:v>
      </x:c>
      <x:c r="F26" s="15" t="str">
        <x:v>方案判断</x:v>
      </x:c>
      <x:c r="G26" s="15" t="str">
        <x:v>工业炉改造</x:v>
      </x:c>
      <x:c r="H26" s="15" t="str">
        <x:v>首页采购决策区；改造服务页；相关指南</x:v>
      </x:c>
      <x:c r="I26" s="15" t="str">
        <x:v>改造服务；修还是换；改造风险；联系页</x:v>
      </x:c>
      <x:c r="J26" s="15" t="str">
        <x:v>待 GSC 核验</x:v>
      </x:c>
      <x:c r="K26" s="15" t="str">
        <x:v>已上线</x:v>
      </x:c>
      <x:c r="L26" s="15"/>
      <x:c r="M26" s="15"/>
      <x:c r="N26" s="15"/>
      <x:c r="O26" s="15"/>
      <x:c r="P26" s="15" t="str">
        <x:v>钱波</x:v>
      </x:c>
      <x:c r="Q26" s="15" t="str">
        <x:v>P1</x:v>
      </x:c>
      <x:c r="R26" s="15" t="str">
        <x:v>接入 GSC 后按查询词与展现决定下一步</x:v>
      </x:c>
      <x:c r="S26" s="15" t="str">
        <x:v>URL 来源：2026-08-04 生产 sitemap；已排除 4 个本轮归并/关闭路由</x:v>
      </x:c>
    </x:row>
    <x:row r="27" ht="42" customHeight="1">
      <x:c r="A27" s="15" t="str">
        <x:v>https://www.jssngyl.cn/zh/solutions/rechuli-lu-changjia</x:v>
      </x:c>
      <x:c r="B27" s="15" t="str">
        <x:v>zh</x:v>
      </x:c>
      <x:c r="C27" s="15" t="str">
        <x:v>权威方案</x:v>
      </x:c>
      <x:c r="D27" s="15" t="str">
        <x:v>热处理炉厂家怎么选</x:v>
      </x:c>
      <x:c r="E27" s="15" t="str">
        <x:v>工业炉厂家；江苏热处理炉；企业资质；制造能力</x:v>
      </x:c>
      <x:c r="F27" s="15" t="str">
        <x:v>方案判断</x:v>
      </x:c>
      <x:c r="G27" s="15" t="str">
        <x:v>品牌与厂家信任</x:v>
      </x:c>
      <x:c r="H27" s="15" t="str">
        <x:v>首页采购决策区；改造服务页；相关指南</x:v>
      </x:c>
      <x:c r="I27" s="15" t="str">
        <x:v>产品中心；报价参数；联系页</x:v>
      </x:c>
      <x:c r="J27" s="15" t="str">
        <x:v>待 GSC 核验</x:v>
      </x:c>
      <x:c r="K27" s="15" t="str">
        <x:v>已上线</x:v>
      </x:c>
      <x:c r="L27" s="15"/>
      <x:c r="M27" s="15"/>
      <x:c r="N27" s="15"/>
      <x:c r="O27" s="15"/>
      <x:c r="P27" s="15" t="str">
        <x:v>钱波</x:v>
      </x:c>
      <x:c r="Q27" s="15" t="str">
        <x:v>P1</x:v>
      </x:c>
      <x:c r="R27" s="15" t="str">
        <x:v>接入 GSC 后按查询词与展现决定下一步</x:v>
      </x:c>
      <x:c r="S27" s="15" t="str">
        <x:v>URL 来源：2026-08-04 生产 sitemap；已排除 4 个本轮归并/关闭路由</x:v>
      </x:c>
    </x:row>
    <x:row r="28" ht="42" customHeight="1">
      <x:c r="A28" s="15" t="str">
        <x:v>https://www.jssngyl.cn/zh/solutions/jiangsu-gongye-lu-changjia</x:v>
      </x:c>
      <x:c r="B28" s="15" t="str">
        <x:v>zh</x:v>
      </x:c>
      <x:c r="C28" s="15" t="str">
        <x:v>权威方案</x:v>
      </x:c>
      <x:c r="D28" s="15" t="str">
        <x:v>江苏工业炉厂家</x:v>
      </x:c>
      <x:c r="E28" s="15" t="str">
        <x:v>工业炉厂家；江苏热处理炉；企业资质；制造能力</x:v>
      </x:c>
      <x:c r="F28" s="15" t="str">
        <x:v>方案判断</x:v>
      </x:c>
      <x:c r="G28" s="15" t="str">
        <x:v>品牌与厂家信任</x:v>
      </x:c>
      <x:c r="H28" s="15" t="str">
        <x:v>首页采购决策区；改造服务页；相关指南</x:v>
      </x:c>
      <x:c r="I28" s="15" t="str">
        <x:v>产品中心；报价参数；联系页</x:v>
      </x:c>
      <x:c r="J28" s="15" t="str">
        <x:v>待 GSC 核验</x:v>
      </x:c>
      <x:c r="K28" s="15" t="str">
        <x:v>已上线</x:v>
      </x:c>
      <x:c r="L28" s="15"/>
      <x:c r="M28" s="15"/>
      <x:c r="N28" s="15"/>
      <x:c r="O28" s="15"/>
      <x:c r="P28" s="15" t="str">
        <x:v>钱波</x:v>
      </x:c>
      <x:c r="Q28" s="15" t="str">
        <x:v>P1</x:v>
      </x:c>
      <x:c r="R28" s="15" t="str">
        <x:v>接入 GSC 后按查询词与展现决定下一步</x:v>
      </x:c>
      <x:c r="S28" s="15" t="str">
        <x:v>URL 来源：2026-08-04 生产 sitemap；已排除 4 个本轮归并/关闭路由</x:v>
      </x:c>
    </x:row>
    <x:row r="29" ht="42" customHeight="1">
      <x:c r="A29" s="15" t="str">
        <x:v>https://www.jssngyl.cn/zh/solutions/continuous-heat-treatment-line</x:v>
      </x:c>
      <x:c r="B29" s="15" t="str">
        <x:v>zh</x:v>
      </x:c>
      <x:c r="C29" s="15" t="str">
        <x:v>权威方案</x:v>
      </x:c>
      <x:c r="D29" s="15" t="str">
        <x:v>连续热处理生产线</x:v>
      </x:c>
      <x:c r="E29" s="15" t="str">
        <x:v>退火生产线；固溶处理；网带炉；产能节拍；工艺验收</x:v>
      </x:c>
      <x:c r="F29" s="15" t="str">
        <x:v>方案判断</x:v>
      </x:c>
      <x:c r="G29" s="15" t="str">
        <x:v>连续热处理线</x:v>
      </x:c>
      <x:c r="H29" s="15" t="str">
        <x:v>首页采购决策区；改造服务页；相关指南</x:v>
      </x:c>
      <x:c r="I29" s="15" t="str">
        <x:v>退火固溶产品；连续线方案；生产线案例</x:v>
      </x:c>
      <x:c r="J29" s="15" t="str">
        <x:v>待 GSC 核验</x:v>
      </x:c>
      <x:c r="K29" s="15" t="str">
        <x:v>已上线</x:v>
      </x:c>
      <x:c r="L29" s="15"/>
      <x:c r="M29" s="15"/>
      <x:c r="N29" s="15"/>
      <x:c r="O29" s="15"/>
      <x:c r="P29" s="15" t="str">
        <x:v>钱波</x:v>
      </x:c>
      <x:c r="Q29" s="15" t="str">
        <x:v>P1</x:v>
      </x:c>
      <x:c r="R29" s="15" t="str">
        <x:v>接入 GSC 后按查询词与展现决定下一步</x:v>
      </x:c>
      <x:c r="S29" s="15" t="str">
        <x:v>URL 来源：2026-08-04 生产 sitemap；已排除 4 个本轮归并/关闭路由</x:v>
      </x:c>
    </x:row>
    <x:row r="30" ht="42" customHeight="1">
      <x:c r="A30" s="15" t="str">
        <x:v>https://www.jssngyl.cn/zh/case/anonymous-tsingshan-1250-renovation</x:v>
      </x:c>
      <x:c r="B30" s="15" t="str">
        <x:v>zh</x:v>
      </x:c>
      <x:c r="C30" s="15" t="str">
        <x:v>项目案例</x:v>
      </x:c>
      <x:c r="D30" s="15" t="str">
        <x:v>连续退洗线节能改造案例</x:v>
      </x:c>
      <x:c r="E30" s="15" t="str">
        <x:v>工业炉案例；项目周期；验收证据；适用边界</x:v>
      </x:c>
      <x:c r="F30" s="15" t="str">
        <x:v>证据核验</x:v>
      </x:c>
      <x:c r="G30" s="15" t="str">
        <x:v>项目证据</x:v>
      </x:c>
      <x:c r="H30" s="15" t="str">
        <x:v>首页项目证据区；相关方案页</x:v>
      </x:c>
      <x:c r="I30" s="15" t="str">
        <x:v>产品中心；报价参数；联系页</x:v>
      </x:c>
      <x:c r="J30" s="15" t="str">
        <x:v>待 GSC 核验</x:v>
      </x:c>
      <x:c r="K30" s="15" t="str">
        <x:v>已上线</x:v>
      </x:c>
      <x:c r="L30" s="15"/>
      <x:c r="M30" s="15"/>
      <x:c r="N30" s="15"/>
      <x:c r="O30" s="15"/>
      <x:c r="P30" s="15" t="str">
        <x:v>钱波</x:v>
      </x:c>
      <x:c r="Q30" s="15" t="str">
        <x:v>P1</x:v>
      </x:c>
      <x:c r="R30" s="15" t="str">
        <x:v>接入 GSC 后按查询词与展现决定下一步</x:v>
      </x:c>
      <x:c r="S30" s="15" t="str">
        <x:v>URL 来源：2026-08-04 生产 sitemap；已排除 4 个本轮归并/关闭路由</x:v>
      </x:c>
    </x:row>
    <x:row r="31" ht="42" customHeight="1">
      <x:c r="A31" s="15" t="str">
        <x:v>https://www.jssngyl.cn/zh/case/jining-support-roller-heat-treatment-line</x:v>
      </x:c>
      <x:c r="B31" s="15" t="str">
        <x:v>zh</x:v>
      </x:c>
      <x:c r="C31" s="15" t="str">
        <x:v>项目案例</x:v>
      </x:c>
      <x:c r="D31" s="15" t="str">
        <x:v>支重轮热处理生产线案例</x:v>
      </x:c>
      <x:c r="E31" s="15" t="str">
        <x:v>工业炉案例；项目周期；验收证据；适用边界</x:v>
      </x:c>
      <x:c r="F31" s="15" t="str">
        <x:v>证据核验</x:v>
      </x:c>
      <x:c r="G31" s="15" t="str">
        <x:v>项目证据</x:v>
      </x:c>
      <x:c r="H31" s="15" t="str">
        <x:v>首页项目证据区；相关方案页</x:v>
      </x:c>
      <x:c r="I31" s="15" t="str">
        <x:v>产品中心；报价参数；联系页</x:v>
      </x:c>
      <x:c r="J31" s="15" t="str">
        <x:v>待 GSC 核验</x:v>
      </x:c>
      <x:c r="K31" s="15" t="str">
        <x:v>已上线</x:v>
      </x:c>
      <x:c r="L31" s="15"/>
      <x:c r="M31" s="15"/>
      <x:c r="N31" s="15"/>
      <x:c r="O31" s="15"/>
      <x:c r="P31" s="15" t="str">
        <x:v>钱波</x:v>
      </x:c>
      <x:c r="Q31" s="15" t="str">
        <x:v>P1</x:v>
      </x:c>
      <x:c r="R31" s="15" t="str">
        <x:v>接入 GSC 后按查询词与展现决定下一步</x:v>
      </x:c>
      <x:c r="S31" s="15" t="str">
        <x:v>URL 来源：2026-08-04 生产 sitemap；已排除 4 个本轮归并/关闭路由</x:v>
      </x:c>
    </x:row>
    <x:row r="32" ht="42" customHeight="1">
      <x:c r="A32" s="15" t="str">
        <x:v>https://www.jssngyl.cn/zh/case/henan-annealing-solution-line</x:v>
      </x:c>
      <x:c r="B32" s="15" t="str">
        <x:v>zh</x:v>
      </x:c>
      <x:c r="C32" s="15" t="str">
        <x:v>项目案例</x:v>
      </x:c>
      <x:c r="D32" s="15" t="str">
        <x:v>连续退火固溶生产线案例</x:v>
      </x:c>
      <x:c r="E32" s="15" t="str">
        <x:v>工业炉案例；项目周期；验收证据；适用边界</x:v>
      </x:c>
      <x:c r="F32" s="15" t="str">
        <x:v>证据核验</x:v>
      </x:c>
      <x:c r="G32" s="15" t="str">
        <x:v>项目证据</x:v>
      </x:c>
      <x:c r="H32" s="15" t="str">
        <x:v>首页项目证据区；相关方案页</x:v>
      </x:c>
      <x:c r="I32" s="15" t="str">
        <x:v>产品中心；报价参数；联系页</x:v>
      </x:c>
      <x:c r="J32" s="15" t="str">
        <x:v>待 GSC 核验</x:v>
      </x:c>
      <x:c r="K32" s="15" t="str">
        <x:v>已上线</x:v>
      </x:c>
      <x:c r="L32" s="15"/>
      <x:c r="M32" s="15"/>
      <x:c r="N32" s="15"/>
      <x:c r="O32" s="15"/>
      <x:c r="P32" s="15" t="str">
        <x:v>钱波</x:v>
      </x:c>
      <x:c r="Q32" s="15" t="str">
        <x:v>P1</x:v>
      </x:c>
      <x:c r="R32" s="15" t="str">
        <x:v>接入 GSC 后按查询词与展现决定下一步</x:v>
      </x:c>
      <x:c r="S32" s="15" t="str">
        <x:v>URL 来源：2026-08-04 生产 sitemap；已排除 4 个本轮归并/关闭路由</x:v>
      </x:c>
    </x:row>
    <x:row r="33" ht="42" customHeight="1">
      <x:c r="A33" s="15" t="str">
        <x:v>https://www.jssngyl.cn/zh/products/detail/roller-mesh-belt-line</x:v>
      </x:c>
      <x:c r="B33" s="15" t="str">
        <x:v>zh</x:v>
      </x:c>
      <x:c r="C33" s="15" t="str">
        <x:v>产品详情</x:v>
      </x:c>
      <x:c r="D33" s="15" t="str">
        <x:v>托辊型网带热处理生产线</x:v>
      </x:c>
      <x:c r="E33" s="15" t="str">
        <x:v>退火生产线；固溶处理；网带炉；产能节拍；工艺验收</x:v>
      </x:c>
      <x:c r="F33" s="15" t="str">
        <x:v>商业调研</x:v>
      </x:c>
      <x:c r="G33" s="15" t="str">
        <x:v>连续热处理线</x:v>
      </x:c>
      <x:c r="H33" s="15" t="str">
        <x:v>首页热门产品；产品中心</x:v>
      </x:c>
      <x:c r="I33" s="15" t="str">
        <x:v>报价参数指南；相关方案；联系页</x:v>
      </x:c>
      <x:c r="J33" s="15" t="str">
        <x:v>待 GSC 核验</x:v>
      </x:c>
      <x:c r="K33" s="15" t="str">
        <x:v>已上线</x:v>
      </x:c>
      <x:c r="L33" s="15"/>
      <x:c r="M33" s="15"/>
      <x:c r="N33" s="15"/>
      <x:c r="O33" s="15"/>
      <x:c r="P33" s="15" t="str">
        <x:v>钱波</x:v>
      </x:c>
      <x:c r="Q33" s="15" t="str">
        <x:v>P0</x:v>
      </x:c>
      <x:c r="R33" s="15" t="str">
        <x:v>接入 GSC 后按查询词与展现决定下一步</x:v>
      </x:c>
      <x:c r="S33" s="15" t="str">
        <x:v>URL 来源：2026-08-04 生产 sitemap；已排除 4 个本轮归并/关闭路由</x:v>
      </x:c>
    </x:row>
    <x:row r="34" ht="42" customHeight="1">
      <x:c r="A34" s="15" t="str">
        <x:v>https://www.jssngyl.cn/zh/products/detail/copper-wire-annealing-line</x:v>
      </x:c>
      <x:c r="B34" s="15" t="str">
        <x:v>zh</x:v>
      </x:c>
      <x:c r="C34" s="15" t="str">
        <x:v>产品详情</x:v>
      </x:c>
      <x:c r="D34" s="15" t="str">
        <x:v>铜丝连续退火生产线</x:v>
      </x:c>
      <x:c r="E34" s="15" t="str">
        <x:v>退火生产线；固溶处理；网带炉；产能节拍；工艺验收</x:v>
      </x:c>
      <x:c r="F34" s="15" t="str">
        <x:v>商业调研</x:v>
      </x:c>
      <x:c r="G34" s="15" t="str">
        <x:v>连续热处理线</x:v>
      </x:c>
      <x:c r="H34" s="15" t="str">
        <x:v>首页热门产品；产品中心</x:v>
      </x:c>
      <x:c r="I34" s="15" t="str">
        <x:v>报价参数指南；相关方案；联系页</x:v>
      </x:c>
      <x:c r="J34" s="15" t="str">
        <x:v>待 GSC 核验</x:v>
      </x:c>
      <x:c r="K34" s="15" t="str">
        <x:v>已上线</x:v>
      </x:c>
      <x:c r="L34" s="15"/>
      <x:c r="M34" s="15"/>
      <x:c r="N34" s="15"/>
      <x:c r="O34" s="15"/>
      <x:c r="P34" s="15" t="str">
        <x:v>钱波</x:v>
      </x:c>
      <x:c r="Q34" s="15" t="str">
        <x:v>P0</x:v>
      </x:c>
      <x:c r="R34" s="15" t="str">
        <x:v>接入 GSC 后按查询词与展现决定下一步</x:v>
      </x:c>
      <x:c r="S34" s="15" t="str">
        <x:v>URL 来源：2026-08-04 生产 sitemap；已排除 4 个本轮归并/关闭路由</x:v>
      </x:c>
    </x:row>
    <x:row r="35" ht="42" customHeight="1">
      <x:c r="A35" s="15" t="str">
        <x:v>https://www.jssngyl.cn/zh/products/detail/annealing-solution-line</x:v>
      </x:c>
      <x:c r="B35" s="15" t="str">
        <x:v>zh</x:v>
      </x:c>
      <x:c r="C35" s="15" t="str">
        <x:v>产品详情</x:v>
      </x:c>
      <x:c r="D35" s="15" t="str">
        <x:v>连续退火固溶生产线</x:v>
      </x:c>
      <x:c r="E35" s="15" t="str">
        <x:v>退火生产线；固溶处理；网带炉；产能节拍；工艺验收</x:v>
      </x:c>
      <x:c r="F35" s="15" t="str">
        <x:v>商业调研</x:v>
      </x:c>
      <x:c r="G35" s="15" t="str">
        <x:v>连续热处理线</x:v>
      </x:c>
      <x:c r="H35" s="15" t="str">
        <x:v>首页热门产品；产品中心</x:v>
      </x:c>
      <x:c r="I35" s="15" t="str">
        <x:v>报价参数指南；相关方案；联系页</x:v>
      </x:c>
      <x:c r="J35" s="15" t="str">
        <x:v>待 GSC 核验</x:v>
      </x:c>
      <x:c r="K35" s="15" t="str">
        <x:v>已上线</x:v>
      </x:c>
      <x:c r="L35" s="15"/>
      <x:c r="M35" s="15"/>
      <x:c r="N35" s="15"/>
      <x:c r="O35" s="15"/>
      <x:c r="P35" s="15" t="str">
        <x:v>钱波</x:v>
      </x:c>
      <x:c r="Q35" s="15" t="str">
        <x:v>P0</x:v>
      </x:c>
      <x:c r="R35" s="15" t="str">
        <x:v>接入 GSC 后按查询词与展现决定下一步</x:v>
      </x:c>
      <x:c r="S35" s="15" t="str">
        <x:v>URL 来源：2026-08-04 生产 sitemap；已排除 4 个本轮归并/关闭路由</x:v>
      </x:c>
    </x:row>
    <x:row r="36" ht="42" customHeight="1">
      <x:c r="A36" s="15" t="str">
        <x:v>https://www.jssngyl.cn/zh/products/detail/box-furnace</x:v>
      </x:c>
      <x:c r="B36" s="15" t="str">
        <x:v>zh</x:v>
      </x:c>
      <x:c r="C36" s="15" t="str">
        <x:v>产品详情</x:v>
      </x:c>
      <x:c r="D36" s="15" t="str">
        <x:v>箱式热处理炉</x:v>
      </x:c>
      <x:c r="E36" s="15" t="str">
        <x:v>工业炉选型；炉膛尺寸；装炉量；工艺温度；报价参数</x:v>
      </x:c>
      <x:c r="F36" s="15" t="str">
        <x:v>商业调研</x:v>
      </x:c>
      <x:c r="G36" s="15" t="str">
        <x:v>炉型与产品选型</x:v>
      </x:c>
      <x:c r="H36" s="15" t="str">
        <x:v>首页热门产品；产品中心</x:v>
      </x:c>
      <x:c r="I36" s="15" t="str">
        <x:v>报价参数指南；相关方案；联系页</x:v>
      </x:c>
      <x:c r="J36" s="15" t="str">
        <x:v>待 GSC 核验</x:v>
      </x:c>
      <x:c r="K36" s="15" t="str">
        <x:v>已上线</x:v>
      </x:c>
      <x:c r="L36" s="15"/>
      <x:c r="M36" s="15"/>
      <x:c r="N36" s="15"/>
      <x:c r="O36" s="15"/>
      <x:c r="P36" s="15" t="str">
        <x:v>钱波</x:v>
      </x:c>
      <x:c r="Q36" s="15" t="str">
        <x:v>P0</x:v>
      </x:c>
      <x:c r="R36" s="15" t="str">
        <x:v>接入 GSC 后按查询词与展现决定下一步</x:v>
      </x:c>
      <x:c r="S36" s="15" t="str">
        <x:v>URL 来源：2026-08-04 生产 sitemap；已排除 4 个本轮归并/关闭路由</x:v>
      </x:c>
    </x:row>
    <x:row r="37" ht="42" customHeight="1">
      <x:c r="A37" s="15" t="str">
        <x:v>https://www.jssngyl.cn/zh/products/detail/trolley-furnace</x:v>
      </x:c>
      <x:c r="B37" s="15" t="str">
        <x:v>zh</x:v>
      </x:c>
      <x:c r="C37" s="15" t="str">
        <x:v>产品详情</x:v>
      </x:c>
      <x:c r="D37" s="15" t="str">
        <x:v>台车式热处理炉</x:v>
      </x:c>
      <x:c r="E37" s="15" t="str">
        <x:v>工业炉选型；炉膛尺寸；装炉量；工艺温度；报价参数</x:v>
      </x:c>
      <x:c r="F37" s="15" t="str">
        <x:v>商业调研</x:v>
      </x:c>
      <x:c r="G37" s="15" t="str">
        <x:v>炉型与产品选型</x:v>
      </x:c>
      <x:c r="H37" s="15" t="str">
        <x:v>首页热门产品；产品中心</x:v>
      </x:c>
      <x:c r="I37" s="15" t="str">
        <x:v>报价参数指南；相关方案；联系页</x:v>
      </x:c>
      <x:c r="J37" s="15" t="str">
        <x:v>待 GSC 核验</x:v>
      </x:c>
      <x:c r="K37" s="15" t="str">
        <x:v>已上线</x:v>
      </x:c>
      <x:c r="L37" s="15"/>
      <x:c r="M37" s="15"/>
      <x:c r="N37" s="15"/>
      <x:c r="O37" s="15"/>
      <x:c r="P37" s="15" t="str">
        <x:v>钱波</x:v>
      </x:c>
      <x:c r="Q37" s="15" t="str">
        <x:v>P0</x:v>
      </x:c>
      <x:c r="R37" s="15" t="str">
        <x:v>接入 GSC 后按查询词与展现决定下一步</x:v>
      </x:c>
      <x:c r="S37" s="15" t="str">
        <x:v>URL 来源：2026-08-04 生产 sitemap；已排除 4 个本轮归并/关闭路由</x:v>
      </x:c>
    </x:row>
    <x:row r="38" ht="42" customHeight="1">
      <x:c r="A38" s="15" t="str">
        <x:v>https://www.jssngyl.cn/zh/products/detail/pit-furnace</x:v>
      </x:c>
      <x:c r="B38" s="15" t="str">
        <x:v>zh</x:v>
      </x:c>
      <x:c r="C38" s="15" t="str">
        <x:v>产品详情</x:v>
      </x:c>
      <x:c r="D38" s="15" t="str">
        <x:v>井式热处理炉</x:v>
      </x:c>
      <x:c r="E38" s="15" t="str">
        <x:v>工业炉选型；炉膛尺寸；装炉量；工艺温度；报价参数</x:v>
      </x:c>
      <x:c r="F38" s="15" t="str">
        <x:v>商业调研</x:v>
      </x:c>
      <x:c r="G38" s="15" t="str">
        <x:v>炉型与产品选型</x:v>
      </x:c>
      <x:c r="H38" s="15" t="str">
        <x:v>首页热门产品；产品中心</x:v>
      </x:c>
      <x:c r="I38" s="15" t="str">
        <x:v>报价参数指南；相关方案；联系页</x:v>
      </x:c>
      <x:c r="J38" s="15" t="str">
        <x:v>待 GSC 核验</x:v>
      </x:c>
      <x:c r="K38" s="15" t="str">
        <x:v>已上线</x:v>
      </x:c>
      <x:c r="L38" s="15"/>
      <x:c r="M38" s="15"/>
      <x:c r="N38" s="15"/>
      <x:c r="O38" s="15"/>
      <x:c r="P38" s="15" t="str">
        <x:v>钱波</x:v>
      </x:c>
      <x:c r="Q38" s="15" t="str">
        <x:v>P0</x:v>
      </x:c>
      <x:c r="R38" s="15" t="str">
        <x:v>接入 GSC 后按查询词与展现决定下一步</x:v>
      </x:c>
      <x:c r="S38" s="15" t="str">
        <x:v>URL 来源：2026-08-04 生产 sitemap；已排除 4 个本轮归并/关闭路由</x:v>
      </x:c>
    </x:row>
    <x:row r="39" ht="42" customHeight="1">
      <x:c r="A39" s="15" t="str">
        <x:v>https://www.jssngyl.cn/zh/products/detail/bell-furnace</x:v>
      </x:c>
      <x:c r="B39" s="15" t="str">
        <x:v>zh</x:v>
      </x:c>
      <x:c r="C39" s="15" t="str">
        <x:v>产品详情</x:v>
      </x:c>
      <x:c r="D39" s="15" t="str">
        <x:v>罩式炉</x:v>
      </x:c>
      <x:c r="E39" s="15" t="str">
        <x:v>工业炉选型；炉膛尺寸；装炉量；工艺温度；报价参数</x:v>
      </x:c>
      <x:c r="F39" s="15" t="str">
        <x:v>商业调研</x:v>
      </x:c>
      <x:c r="G39" s="15" t="str">
        <x:v>炉型与产品选型</x:v>
      </x:c>
      <x:c r="H39" s="15" t="str">
        <x:v>首页热门产品；产品中心</x:v>
      </x:c>
      <x:c r="I39" s="15" t="str">
        <x:v>报价参数指南；相关方案；联系页</x:v>
      </x:c>
      <x:c r="J39" s="15" t="str">
        <x:v>待 GSC 核验</x:v>
      </x:c>
      <x:c r="K39" s="15" t="str">
        <x:v>已上线</x:v>
      </x:c>
      <x:c r="L39" s="15"/>
      <x:c r="M39" s="15"/>
      <x:c r="N39" s="15"/>
      <x:c r="O39" s="15"/>
      <x:c r="P39" s="15" t="str">
        <x:v>钱波</x:v>
      </x:c>
      <x:c r="Q39" s="15" t="str">
        <x:v>P0</x:v>
      </x:c>
      <x:c r="R39" s="15" t="str">
        <x:v>接入 GSC 后按查询词与展现决定下一步</x:v>
      </x:c>
      <x:c r="S39" s="15" t="str">
        <x:v>URL 来源：2026-08-04 生产 sitemap；已排除 4 个本轮归并/关闭路由</x:v>
      </x:c>
    </x:row>
    <x:row r="40" ht="42" customHeight="1">
      <x:c r="A40" s="15" t="str">
        <x:v>https://www.jssngyl.cn/zh/products/detail/pusher-furnace</x:v>
      </x:c>
      <x:c r="B40" s="15" t="str">
        <x:v>zh</x:v>
      </x:c>
      <x:c r="C40" s="15" t="str">
        <x:v>产品详情</x:v>
      </x:c>
      <x:c r="D40" s="15" t="str">
        <x:v>推杆式热处理炉</x:v>
      </x:c>
      <x:c r="E40" s="15" t="str">
        <x:v>工业炉选型；炉膛尺寸；装炉量；工艺温度；报价参数</x:v>
      </x:c>
      <x:c r="F40" s="15" t="str">
        <x:v>商业调研</x:v>
      </x:c>
      <x:c r="G40" s="15" t="str">
        <x:v>炉型与产品选型</x:v>
      </x:c>
      <x:c r="H40" s="15" t="str">
        <x:v>首页热门产品；产品中心</x:v>
      </x:c>
      <x:c r="I40" s="15" t="str">
        <x:v>报价参数指南；相关方案；联系页</x:v>
      </x:c>
      <x:c r="J40" s="15" t="str">
        <x:v>待 GSC 核验</x:v>
      </x:c>
      <x:c r="K40" s="15" t="str">
        <x:v>已上线</x:v>
      </x:c>
      <x:c r="L40" s="15"/>
      <x:c r="M40" s="15"/>
      <x:c r="N40" s="15"/>
      <x:c r="O40" s="15"/>
      <x:c r="P40" s="15" t="str">
        <x:v>钱波</x:v>
      </x:c>
      <x:c r="Q40" s="15" t="str">
        <x:v>P0</x:v>
      </x:c>
      <x:c r="R40" s="15" t="str">
        <x:v>接入 GSC 后按查询词与展现决定下一步</x:v>
      </x:c>
      <x:c r="S40" s="15" t="str">
        <x:v>URL 来源：2026-08-04 生产 sitemap；已排除 4 个本轮归并/关闭路由</x:v>
      </x:c>
    </x:row>
    <x:row r="41" ht="42" customHeight="1">
      <x:c r="A41" s="15" t="str">
        <x:v>https://www.jssngyl.cn/zh/products/detail/mesh-belt-furnace</x:v>
      </x:c>
      <x:c r="B41" s="15" t="str">
        <x:v>zh</x:v>
      </x:c>
      <x:c r="C41" s="15" t="str">
        <x:v>产品详情</x:v>
      </x:c>
      <x:c r="D41" s="15" t="str">
        <x:v>连续网带炉</x:v>
      </x:c>
      <x:c r="E41" s="15" t="str">
        <x:v>退火生产线；固溶处理；网带炉；产能节拍；工艺验收</x:v>
      </x:c>
      <x:c r="F41" s="15" t="str">
        <x:v>商业调研</x:v>
      </x:c>
      <x:c r="G41" s="15" t="str">
        <x:v>连续热处理线</x:v>
      </x:c>
      <x:c r="H41" s="15" t="str">
        <x:v>首页热门产品；产品中心</x:v>
      </x:c>
      <x:c r="I41" s="15" t="str">
        <x:v>报价参数指南；相关方案；联系页</x:v>
      </x:c>
      <x:c r="J41" s="15" t="str">
        <x:v>待 GSC 核验</x:v>
      </x:c>
      <x:c r="K41" s="15" t="str">
        <x:v>已上线</x:v>
      </x:c>
      <x:c r="L41" s="15"/>
      <x:c r="M41" s="15"/>
      <x:c r="N41" s="15"/>
      <x:c r="O41" s="15"/>
      <x:c r="P41" s="15" t="str">
        <x:v>钱波</x:v>
      </x:c>
      <x:c r="Q41" s="15" t="str">
        <x:v>P0</x:v>
      </x:c>
      <x:c r="R41" s="15" t="str">
        <x:v>接入 GSC 后按查询词与展现决定下一步</x:v>
      </x:c>
      <x:c r="S41" s="15" t="str">
        <x:v>URL 来源：2026-08-04 生产 sitemap；已排除 4 个本轮归并/关闭路由</x:v>
      </x:c>
    </x:row>
    <x:row r="42" ht="42" customHeight="1">
      <x:c r="A42" s="15" t="str">
        <x:v>https://www.jssngyl.cn/zh/products/detail/roller-hearth-furnace</x:v>
      </x:c>
      <x:c r="B42" s="15" t="str">
        <x:v>zh</x:v>
      </x:c>
      <x:c r="C42" s="15" t="str">
        <x:v>产品详情</x:v>
      </x:c>
      <x:c r="D42" s="15" t="str">
        <x:v>辊底式热处理炉</x:v>
      </x:c>
      <x:c r="E42" s="15" t="str">
        <x:v>工业炉选型；炉膛尺寸；装炉量；工艺温度；报价参数</x:v>
      </x:c>
      <x:c r="F42" s="15" t="str">
        <x:v>商业调研</x:v>
      </x:c>
      <x:c r="G42" s="15" t="str">
        <x:v>炉型与产品选型</x:v>
      </x:c>
      <x:c r="H42" s="15" t="str">
        <x:v>首页热门产品；产品中心</x:v>
      </x:c>
      <x:c r="I42" s="15" t="str">
        <x:v>报价参数指南；相关方案；联系页</x:v>
      </x:c>
      <x:c r="J42" s="15" t="str">
        <x:v>待 GSC 核验</x:v>
      </x:c>
      <x:c r="K42" s="15" t="str">
        <x:v>已上线</x:v>
      </x:c>
      <x:c r="L42" s="15"/>
      <x:c r="M42" s="15"/>
      <x:c r="N42" s="15"/>
      <x:c r="O42" s="15"/>
      <x:c r="P42" s="15" t="str">
        <x:v>钱波</x:v>
      </x:c>
      <x:c r="Q42" s="15" t="str">
        <x:v>P0</x:v>
      </x:c>
      <x:c r="R42" s="15" t="str">
        <x:v>接入 GSC 后按查询词与展现决定下一步</x:v>
      </x:c>
      <x:c r="S42" s="15" t="str">
        <x:v>URL 来源：2026-08-04 生产 sitemap；已排除 4 个本轮归并/关闭路由</x:v>
      </x:c>
    </x:row>
    <x:row r="43" ht="42" customHeight="1">
      <x:c r="A43" s="15" t="str">
        <x:v>https://www.jssngyl.cn/zh/products/detail/rotary-hearth-furnace</x:v>
      </x:c>
      <x:c r="B43" s="15" t="str">
        <x:v>zh</x:v>
      </x:c>
      <x:c r="C43" s="15" t="str">
        <x:v>产品详情</x:v>
      </x:c>
      <x:c r="D43" s="15" t="str">
        <x:v>转底式热处理炉</x:v>
      </x:c>
      <x:c r="E43" s="15" t="str">
        <x:v>工业炉选型；炉膛尺寸；装炉量；工艺温度；报价参数</x:v>
      </x:c>
      <x:c r="F43" s="15" t="str">
        <x:v>商业调研</x:v>
      </x:c>
      <x:c r="G43" s="15" t="str">
        <x:v>炉型与产品选型</x:v>
      </x:c>
      <x:c r="H43" s="15" t="str">
        <x:v>首页热门产品；产品中心</x:v>
      </x:c>
      <x:c r="I43" s="15" t="str">
        <x:v>报价参数指南；相关方案；联系页</x:v>
      </x:c>
      <x:c r="J43" s="15" t="str">
        <x:v>待 GSC 核验</x:v>
      </x:c>
      <x:c r="K43" s="15" t="str">
        <x:v>已上线</x:v>
      </x:c>
      <x:c r="L43" s="15"/>
      <x:c r="M43" s="15"/>
      <x:c r="N43" s="15"/>
      <x:c r="O43" s="15"/>
      <x:c r="P43" s="15" t="str">
        <x:v>钱波</x:v>
      </x:c>
      <x:c r="Q43" s="15" t="str">
        <x:v>P0</x:v>
      </x:c>
      <x:c r="R43" s="15" t="str">
        <x:v>接入 GSC 后按查询词与展现决定下一步</x:v>
      </x:c>
      <x:c r="S43" s="15" t="str">
        <x:v>URL 来源：2026-08-04 生产 sitemap；已排除 4 个本轮归并/关闭路由</x:v>
      </x:c>
    </x:row>
    <x:row r="44" ht="42" customHeight="1">
      <x:c r="A44" s="15" t="str">
        <x:v>https://www.jssngyl.cn/en/products/detail/roller-mesh-belt-line</x:v>
      </x:c>
      <x:c r="B44" s="15" t="str">
        <x:v>en</x:v>
      </x:c>
      <x:c r="C44" s="15" t="str">
        <x:v>产品详情</x:v>
      </x:c>
      <x:c r="D44" s="15" t="str">
        <x:v>roller mesh-belt furnace line</x:v>
      </x:c>
      <x:c r="E44" s="15" t="str">
        <x:v>industrial furnace selection; chamber size; charge load; process temperature; quotation inputs</x:v>
      </x:c>
      <x:c r="F44" s="15" t="str">
        <x:v>商业调研</x:v>
      </x:c>
      <x:c r="G44" s="15" t="str">
        <x:v>炉型与产品选型</x:v>
      </x:c>
      <x:c r="H44" s="15" t="str">
        <x:v>首页热门产品；产品中心</x:v>
      </x:c>
      <x:c r="I44" s="15" t="str">
        <x:v>报价参数指南；相关方案；联系页</x:v>
      </x:c>
      <x:c r="J44" s="15" t="str">
        <x:v>待 GSC 核验</x:v>
      </x:c>
      <x:c r="K44" s="15" t="str">
        <x:v>已上线</x:v>
      </x:c>
      <x:c r="L44" s="15"/>
      <x:c r="M44" s="15"/>
      <x:c r="N44" s="15"/>
      <x:c r="O44" s="15"/>
      <x:c r="P44" s="15" t="str">
        <x:v>钱波</x:v>
      </x:c>
      <x:c r="Q44" s="15" t="str">
        <x:v>P0</x:v>
      </x:c>
      <x:c r="R44" s="15" t="str">
        <x:v>上线后复核英文收录与展示</x:v>
      </x:c>
      <x:c r="S44" s="15" t="str">
        <x:v>URL 来源：2026-08-04 生产 sitemap；已排除 4 个本轮归并/关闭路由</x:v>
      </x:c>
    </x:row>
    <x:row r="45" ht="42" customHeight="1">
      <x:c r="A45" s="15" t="str">
        <x:v>https://www.jssngyl.cn/en/products/detail/copper-wire-annealing-line</x:v>
      </x:c>
      <x:c r="B45" s="15" t="str">
        <x:v>en</x:v>
      </x:c>
      <x:c r="C45" s="15" t="str">
        <x:v>产品详情</x:v>
      </x:c>
      <x:c r="D45" s="15" t="str">
        <x:v>copper wire annealing line</x:v>
      </x:c>
      <x:c r="E45" s="15" t="str">
        <x:v>industrial furnace selection; chamber size; charge load; process temperature; quotation inputs</x:v>
      </x:c>
      <x:c r="F45" s="15" t="str">
        <x:v>商业调研</x:v>
      </x:c>
      <x:c r="G45" s="15" t="str">
        <x:v>炉型与产品选型</x:v>
      </x:c>
      <x:c r="H45" s="15" t="str">
        <x:v>首页热门产品；产品中心</x:v>
      </x:c>
      <x:c r="I45" s="15" t="str">
        <x:v>报价参数指南；相关方案；联系页</x:v>
      </x:c>
      <x:c r="J45" s="15" t="str">
        <x:v>待 GSC 核验</x:v>
      </x:c>
      <x:c r="K45" s="15" t="str">
        <x:v>已上线</x:v>
      </x:c>
      <x:c r="L45" s="15"/>
      <x:c r="M45" s="15"/>
      <x:c r="N45" s="15"/>
      <x:c r="O45" s="15"/>
      <x:c r="P45" s="15" t="str">
        <x:v>钱波</x:v>
      </x:c>
      <x:c r="Q45" s="15" t="str">
        <x:v>P0</x:v>
      </x:c>
      <x:c r="R45" s="15" t="str">
        <x:v>上线后复核英文收录与展示</x:v>
      </x:c>
      <x:c r="S45" s="15" t="str">
        <x:v>URL 来源：2026-08-04 生产 sitemap；已排除 4 个本轮归并/关闭路由</x:v>
      </x:c>
    </x:row>
    <x:row r="46" ht="42" customHeight="1">
      <x:c r="A46" s="15" t="str">
        <x:v>https://www.jssngyl.cn/en/products/detail/annealing-solution-line</x:v>
      </x:c>
      <x:c r="B46" s="15" t="str">
        <x:v>en</x:v>
      </x:c>
      <x:c r="C46" s="15" t="str">
        <x:v>产品详情</x:v>
      </x:c>
      <x:c r="D46" s="15" t="str">
        <x:v>annealing solution-treatment line</x:v>
      </x:c>
      <x:c r="E46" s="15" t="str">
        <x:v>industrial furnace selection; chamber size; charge load; process temperature; quotation inputs</x:v>
      </x:c>
      <x:c r="F46" s="15" t="str">
        <x:v>商业调研</x:v>
      </x:c>
      <x:c r="G46" s="15" t="str">
        <x:v>炉型与产品选型</x:v>
      </x:c>
      <x:c r="H46" s="15" t="str">
        <x:v>首页热门产品；产品中心</x:v>
      </x:c>
      <x:c r="I46" s="15" t="str">
        <x:v>报价参数指南；相关方案；联系页</x:v>
      </x:c>
      <x:c r="J46" s="15" t="str">
        <x:v>待 GSC 核验</x:v>
      </x:c>
      <x:c r="K46" s="15" t="str">
        <x:v>已上线</x:v>
      </x:c>
      <x:c r="L46" s="15"/>
      <x:c r="M46" s="15"/>
      <x:c r="N46" s="15"/>
      <x:c r="O46" s="15"/>
      <x:c r="P46" s="15" t="str">
        <x:v>钱波</x:v>
      </x:c>
      <x:c r="Q46" s="15" t="str">
        <x:v>P0</x:v>
      </x:c>
      <x:c r="R46" s="15" t="str">
        <x:v>上线后复核英文收录与展示</x:v>
      </x:c>
      <x:c r="S46" s="15" t="str">
        <x:v>URL 来源：2026-08-04 生产 sitemap；已排除 4 个本轮归并/关闭路由</x:v>
      </x:c>
    </x:row>
    <x:row r="47" ht="42" customHeight="1">
      <x:c r="A47" s="15" t="str">
        <x:v>https://www.jssngyl.cn/en/products/detail/box-furnace</x:v>
      </x:c>
      <x:c r="B47" s="15" t="str">
        <x:v>en</x:v>
      </x:c>
      <x:c r="C47" s="15" t="str">
        <x:v>产品详情</x:v>
      </x:c>
      <x:c r="D47" s="15" t="str">
        <x:v>box heat-treatment furnace</x:v>
      </x:c>
      <x:c r="E47" s="15" t="str">
        <x:v>industrial furnace selection; chamber size; charge load; process temperature; quotation inputs</x:v>
      </x:c>
      <x:c r="F47" s="15" t="str">
        <x:v>商业调研</x:v>
      </x:c>
      <x:c r="G47" s="15" t="str">
        <x:v>炉型与产品选型</x:v>
      </x:c>
      <x:c r="H47" s="15" t="str">
        <x:v>首页热门产品；产品中心</x:v>
      </x:c>
      <x:c r="I47" s="15" t="str">
        <x:v>报价参数指南；相关方案；联系页</x:v>
      </x:c>
      <x:c r="J47" s="15" t="str">
        <x:v>待 GSC 核验</x:v>
      </x:c>
      <x:c r="K47" s="15" t="str">
        <x:v>已上线</x:v>
      </x:c>
      <x:c r="L47" s="15"/>
      <x:c r="M47" s="15"/>
      <x:c r="N47" s="15"/>
      <x:c r="O47" s="15"/>
      <x:c r="P47" s="15" t="str">
        <x:v>钱波</x:v>
      </x:c>
      <x:c r="Q47" s="15" t="str">
        <x:v>P0</x:v>
      </x:c>
      <x:c r="R47" s="15" t="str">
        <x:v>上线后复核英文收录与展示</x:v>
      </x:c>
      <x:c r="S47" s="15" t="str">
        <x:v>URL 来源：2026-08-04 生产 sitemap；已排除 4 个本轮归并/关闭路由</x:v>
      </x:c>
    </x:row>
    <x:row r="48" ht="42" customHeight="1">
      <x:c r="A48" s="15" t="str">
        <x:v>https://www.jssngyl.cn/en/products/detail/trolley-furnace</x:v>
      </x:c>
      <x:c r="B48" s="15" t="str">
        <x:v>en</x:v>
      </x:c>
      <x:c r="C48" s="15" t="str">
        <x:v>产品详情</x:v>
      </x:c>
      <x:c r="D48" s="15" t="str">
        <x:v>bogie-hearth furnace</x:v>
      </x:c>
      <x:c r="E48" s="15" t="str">
        <x:v>industrial furnace selection; chamber size; charge load; process temperature; quotation inputs</x:v>
      </x:c>
      <x:c r="F48" s="15" t="str">
        <x:v>商业调研</x:v>
      </x:c>
      <x:c r="G48" s="15" t="str">
        <x:v>炉型与产品选型</x:v>
      </x:c>
      <x:c r="H48" s="15" t="str">
        <x:v>首页热门产品；产品中心</x:v>
      </x:c>
      <x:c r="I48" s="15" t="str">
        <x:v>报价参数指南；相关方案；联系页</x:v>
      </x:c>
      <x:c r="J48" s="15" t="str">
        <x:v>待 GSC 核验</x:v>
      </x:c>
      <x:c r="K48" s="15" t="str">
        <x:v>已上线</x:v>
      </x:c>
      <x:c r="L48" s="15"/>
      <x:c r="M48" s="15"/>
      <x:c r="N48" s="15"/>
      <x:c r="O48" s="15"/>
      <x:c r="P48" s="15" t="str">
        <x:v>钱波</x:v>
      </x:c>
      <x:c r="Q48" s="15" t="str">
        <x:v>P0</x:v>
      </x:c>
      <x:c r="R48" s="15" t="str">
        <x:v>上线后复核英文收录与展示</x:v>
      </x:c>
      <x:c r="S48" s="15" t="str">
        <x:v>URL 来源：2026-08-04 生产 sitemap；已排除 4 个本轮归并/关闭路由</x:v>
      </x:c>
    </x:row>
    <x:row r="49" ht="42" customHeight="1">
      <x:c r="A49" s="15" t="str">
        <x:v>https://www.jssngyl.cn/en/products/detail/pit-furnace</x:v>
      </x:c>
      <x:c r="B49" s="15" t="str">
        <x:v>en</x:v>
      </x:c>
      <x:c r="C49" s="15" t="str">
        <x:v>产品详情</x:v>
      </x:c>
      <x:c r="D49" s="15" t="str">
        <x:v>pit heat-treatment furnace</x:v>
      </x:c>
      <x:c r="E49" s="15" t="str">
        <x:v>industrial furnace selection; chamber size; charge load; process temperature; quotation inputs</x:v>
      </x:c>
      <x:c r="F49" s="15" t="str">
        <x:v>商业调研</x:v>
      </x:c>
      <x:c r="G49" s="15" t="str">
        <x:v>炉型与产品选型</x:v>
      </x:c>
      <x:c r="H49" s="15" t="str">
        <x:v>首页热门产品；产品中心</x:v>
      </x:c>
      <x:c r="I49" s="15" t="str">
        <x:v>报价参数指南；相关方案；联系页</x:v>
      </x:c>
      <x:c r="J49" s="15" t="str">
        <x:v>待 GSC 核验</x:v>
      </x:c>
      <x:c r="K49" s="15" t="str">
        <x:v>已上线</x:v>
      </x:c>
      <x:c r="L49" s="15"/>
      <x:c r="M49" s="15"/>
      <x:c r="N49" s="15"/>
      <x:c r="O49" s="15"/>
      <x:c r="P49" s="15" t="str">
        <x:v>钱波</x:v>
      </x:c>
      <x:c r="Q49" s="15" t="str">
        <x:v>P0</x:v>
      </x:c>
      <x:c r="R49" s="15" t="str">
        <x:v>上线后复核英文收录与展示</x:v>
      </x:c>
      <x:c r="S49" s="15" t="str">
        <x:v>URL 来源：2026-08-04 生产 sitemap；已排除 4 个本轮归并/关闭路由</x:v>
      </x:c>
    </x:row>
    <x:row r="50" ht="42" customHeight="1">
      <x:c r="A50" s="15" t="str">
        <x:v>https://www.jssngyl.cn/en/products/detail/bell-furnace</x:v>
      </x:c>
      <x:c r="B50" s="15" t="str">
        <x:v>en</x:v>
      </x:c>
      <x:c r="C50" s="15" t="str">
        <x:v>产品详情</x:v>
      </x:c>
      <x:c r="D50" s="15" t="str">
        <x:v>bell-type furnace</x:v>
      </x:c>
      <x:c r="E50" s="15" t="str">
        <x:v>industrial furnace selection; chamber size; charge load; process temperature; quotation inputs</x:v>
      </x:c>
      <x:c r="F50" s="15" t="str">
        <x:v>商业调研</x:v>
      </x:c>
      <x:c r="G50" s="15" t="str">
        <x:v>炉型与产品选型</x:v>
      </x:c>
      <x:c r="H50" s="15" t="str">
        <x:v>首页热门产品；产品中心</x:v>
      </x:c>
      <x:c r="I50" s="15" t="str">
        <x:v>报价参数指南；相关方案；联系页</x:v>
      </x:c>
      <x:c r="J50" s="15" t="str">
        <x:v>待 GSC 核验</x:v>
      </x:c>
      <x:c r="K50" s="15" t="str">
        <x:v>已上线</x:v>
      </x:c>
      <x:c r="L50" s="15"/>
      <x:c r="M50" s="15"/>
      <x:c r="N50" s="15"/>
      <x:c r="O50" s="15"/>
      <x:c r="P50" s="15" t="str">
        <x:v>钱波</x:v>
      </x:c>
      <x:c r="Q50" s="15" t="str">
        <x:v>P0</x:v>
      </x:c>
      <x:c r="R50" s="15" t="str">
        <x:v>上线后复核英文收录与展示</x:v>
      </x:c>
      <x:c r="S50" s="15" t="str">
        <x:v>URL 来源：2026-08-04 生产 sitemap；已排除 4 个本轮归并/关闭路由</x:v>
      </x:c>
    </x:row>
    <x:row r="51" ht="42" customHeight="1">
      <x:c r="A51" s="15" t="str">
        <x:v>https://www.jssngyl.cn/en/products/detail/pusher-furnace</x:v>
      </x:c>
      <x:c r="B51" s="15" t="str">
        <x:v>en</x:v>
      </x:c>
      <x:c r="C51" s="15" t="str">
        <x:v>产品详情</x:v>
      </x:c>
      <x:c r="D51" s="15" t="str">
        <x:v>pusher heat-treatment furnace</x:v>
      </x:c>
      <x:c r="E51" s="15" t="str">
        <x:v>industrial furnace selection; chamber size; charge load; process temperature; quotation inputs</x:v>
      </x:c>
      <x:c r="F51" s="15" t="str">
        <x:v>商业调研</x:v>
      </x:c>
      <x:c r="G51" s="15" t="str">
        <x:v>炉型与产品选型</x:v>
      </x:c>
      <x:c r="H51" s="15" t="str">
        <x:v>首页热门产品；产品中心</x:v>
      </x:c>
      <x:c r="I51" s="15" t="str">
        <x:v>报价参数指南；相关方案；联系页</x:v>
      </x:c>
      <x:c r="J51" s="15" t="str">
        <x:v>待 GSC 核验</x:v>
      </x:c>
      <x:c r="K51" s="15" t="str">
        <x:v>已上线</x:v>
      </x:c>
      <x:c r="L51" s="15"/>
      <x:c r="M51" s="15"/>
      <x:c r="N51" s="15"/>
      <x:c r="O51" s="15"/>
      <x:c r="P51" s="15" t="str">
        <x:v>钱波</x:v>
      </x:c>
      <x:c r="Q51" s="15" t="str">
        <x:v>P0</x:v>
      </x:c>
      <x:c r="R51" s="15" t="str">
        <x:v>上线后复核英文收录与展示</x:v>
      </x:c>
      <x:c r="S51" s="15" t="str">
        <x:v>URL 来源：2026-08-04 生产 sitemap；已排除 4 个本轮归并/关闭路由</x:v>
      </x:c>
    </x:row>
    <x:row r="52" ht="42" customHeight="1">
      <x:c r="A52" s="15" t="str">
        <x:v>https://www.jssngyl.cn/en/products/detail/mesh-belt-furnace</x:v>
      </x:c>
      <x:c r="B52" s="15" t="str">
        <x:v>en</x:v>
      </x:c>
      <x:c r="C52" s="15" t="str">
        <x:v>产品详情</x:v>
      </x:c>
      <x:c r="D52" s="15" t="str">
        <x:v>continuous mesh-belt furnace</x:v>
      </x:c>
      <x:c r="E52" s="15" t="str">
        <x:v>industrial furnace selection; chamber size; charge load; process temperature; quotation inputs</x:v>
      </x:c>
      <x:c r="F52" s="15" t="str">
        <x:v>商业调研</x:v>
      </x:c>
      <x:c r="G52" s="15" t="str">
        <x:v>炉型与产品选型</x:v>
      </x:c>
      <x:c r="H52" s="15" t="str">
        <x:v>首页热门产品；产品中心</x:v>
      </x:c>
      <x:c r="I52" s="15" t="str">
        <x:v>报价参数指南；相关方案；联系页</x:v>
      </x:c>
      <x:c r="J52" s="15" t="str">
        <x:v>待 GSC 核验</x:v>
      </x:c>
      <x:c r="K52" s="15" t="str">
        <x:v>已上线</x:v>
      </x:c>
      <x:c r="L52" s="15"/>
      <x:c r="M52" s="15"/>
      <x:c r="N52" s="15"/>
      <x:c r="O52" s="15"/>
      <x:c r="P52" s="15" t="str">
        <x:v>钱波</x:v>
      </x:c>
      <x:c r="Q52" s="15" t="str">
        <x:v>P0</x:v>
      </x:c>
      <x:c r="R52" s="15" t="str">
        <x:v>上线后复核英文收录与展示</x:v>
      </x:c>
      <x:c r="S52" s="15" t="str">
        <x:v>URL 来源：2026-08-04 生产 sitemap；已排除 4 个本轮归并/关闭路由</x:v>
      </x:c>
    </x:row>
    <x:row r="53" ht="42" customHeight="1">
      <x:c r="A53" s="15" t="str">
        <x:v>https://www.jssngyl.cn/en/products/detail/roller-hearth-furnace</x:v>
      </x:c>
      <x:c r="B53" s="15" t="str">
        <x:v>en</x:v>
      </x:c>
      <x:c r="C53" s="15" t="str">
        <x:v>产品详情</x:v>
      </x:c>
      <x:c r="D53" s="15" t="str">
        <x:v>roller-hearth furnace</x:v>
      </x:c>
      <x:c r="E53" s="15" t="str">
        <x:v>industrial furnace selection; chamber size; charge load; process temperature; quotation inputs</x:v>
      </x:c>
      <x:c r="F53" s="15" t="str">
        <x:v>商业调研</x:v>
      </x:c>
      <x:c r="G53" s="15" t="str">
        <x:v>炉型与产品选型</x:v>
      </x:c>
      <x:c r="H53" s="15" t="str">
        <x:v>首页热门产品；产品中心</x:v>
      </x:c>
      <x:c r="I53" s="15" t="str">
        <x:v>报价参数指南；相关方案；联系页</x:v>
      </x:c>
      <x:c r="J53" s="15" t="str">
        <x:v>待 GSC 核验</x:v>
      </x:c>
      <x:c r="K53" s="15" t="str">
        <x:v>已上线</x:v>
      </x:c>
      <x:c r="L53" s="15"/>
      <x:c r="M53" s="15"/>
      <x:c r="N53" s="15"/>
      <x:c r="O53" s="15"/>
      <x:c r="P53" s="15" t="str">
        <x:v>钱波</x:v>
      </x:c>
      <x:c r="Q53" s="15" t="str">
        <x:v>P0</x:v>
      </x:c>
      <x:c r="R53" s="15" t="str">
        <x:v>上线后复核英文收录与展示</x:v>
      </x:c>
      <x:c r="S53" s="15" t="str">
        <x:v>URL 来源：2026-08-04 生产 sitemap；已排除 4 个本轮归并/关闭路由</x:v>
      </x:c>
    </x:row>
    <x:row r="54" ht="42" customHeight="1">
      <x:c r="A54" s="15" t="str">
        <x:v>https://www.jssngyl.cn/en/products/detail/rotary-hearth-furnace</x:v>
      </x:c>
      <x:c r="B54" s="15" t="str">
        <x:v>en</x:v>
      </x:c>
      <x:c r="C54" s="15" t="str">
        <x:v>产品详情</x:v>
      </x:c>
      <x:c r="D54" s="15" t="str">
        <x:v>rotary-hearth furnace</x:v>
      </x:c>
      <x:c r="E54" s="15" t="str">
        <x:v>industrial furnace selection; chamber size; charge load; process temperature; quotation inputs</x:v>
      </x:c>
      <x:c r="F54" s="15" t="str">
        <x:v>商业调研</x:v>
      </x:c>
      <x:c r="G54" s="15" t="str">
        <x:v>炉型与产品选型</x:v>
      </x:c>
      <x:c r="H54" s="15" t="str">
        <x:v>首页热门产品；产品中心</x:v>
      </x:c>
      <x:c r="I54" s="15" t="str">
        <x:v>报价参数指南；相关方案；联系页</x:v>
      </x:c>
      <x:c r="J54" s="15" t="str">
        <x:v>待 GSC 核验</x:v>
      </x:c>
      <x:c r="K54" s="15" t="str">
        <x:v>已上线</x:v>
      </x:c>
      <x:c r="L54" s="15"/>
      <x:c r="M54" s="15"/>
      <x:c r="N54" s="15"/>
      <x:c r="O54" s="15"/>
      <x:c r="P54" s="15" t="str">
        <x:v>钱波</x:v>
      </x:c>
      <x:c r="Q54" s="15" t="str">
        <x:v>P0</x:v>
      </x:c>
      <x:c r="R54" s="15" t="str">
        <x:v>上线后复核英文收录与展示</x:v>
      </x:c>
      <x:c r="S54" s="15" t="str">
        <x:v>URL 来源：2026-08-04 生产 sitemap；已排除 4 个本轮归并/关闭路由</x:v>
      </x:c>
    </x:row>
    <x:row r="55" ht="42" customHeight="1">
      <x:c r="A55" s="15" t="str">
        <x:v>https://www.jssngyl.cn/zh/news/jiang-su-gong-ye-lu-gai-zao-chang-jia-tui-jian-xian-cha-xian-zhuang-zai-tan-fang-an-he-xiao-guo</x:v>
      </x:c>
      <x:c r="B55" s="15" t="str">
        <x:v>zh</x:v>
      </x:c>
      <x:c r="C55" s="15" t="str">
        <x:v>新闻/资料详情</x:v>
      </x:c>
      <x:c r="D55" s="15" t="str">
        <x:v>江苏工业炉改造厂家推荐：先查现状，再谈方案和效果</x:v>
      </x:c>
      <x:c r="E55" s="15" t="str">
        <x:v>工业炉大修；节能改造；停产周期；FAT/SAT；改造验收</x:v>
      </x:c>
      <x:c r="F55" s="15" t="str">
        <x:v>供应商筛选</x:v>
      </x:c>
      <x:c r="G55" s="15" t="str">
        <x:v>工业炉改造</x:v>
      </x:c>
      <x:c r="H55" s="15" t="str">
        <x:v>资料中心列表；主题相关产品/方案页</x:v>
      </x:c>
      <x:c r="I55" s="15" t="str">
        <x:v>相关产品；相关权威方案；项目案例；询价参数</x:v>
      </x:c>
      <x:c r="J55" s="15" t="str">
        <x:v>待 GSC 核验</x:v>
      </x:c>
      <x:c r="K55" s="15" t="str">
        <x:v>已上线</x:v>
      </x:c>
      <x:c r="L55" s="15"/>
      <x:c r="M55" s="15"/>
      <x:c r="N55" s="15"/>
      <x:c r="O55" s="15"/>
      <x:c r="P55" s="15" t="str">
        <x:v>钱波</x:v>
      </x:c>
      <x:c r="Q55" s="15" t="str">
        <x:v>P2</x:v>
      </x:c>
      <x:c r="R55" s="15" t="str">
        <x:v>接入 GSC 后按查询词与展现决定下一步</x:v>
      </x:c>
      <x:c r="S55" s="15" t="str">
        <x:v>URL 来源：2026-08-04 生产 sitemap；已排除 4 个本轮归并/关闭路由</x:v>
      </x:c>
    </x:row>
    <x:row r="56" ht="42" customHeight="1">
      <x:c r="A56" s="15" t="str">
        <x:v>https://www.jssngyl.cn/zh/news/jiang-su-re-chu-li-lu-chang-jia-na-jia-hao-xian-ba-liu-xiang-neng-li-fang-dao-tong-yi-zhang-biao-li-bi-jiao</x:v>
      </x:c>
      <x:c r="B56" s="15" t="str">
        <x:v>zh</x:v>
      </x:c>
      <x:c r="C56" s="15" t="str">
        <x:v>新闻/资料详情</x:v>
      </x:c>
      <x:c r="D56" s="15" t="str">
        <x:v>江苏热处理炉厂家哪家好？先把六项能力放到同一张表里比较</x:v>
      </x:c>
      <x:c r="E56" s="15" t="str">
        <x:v>工业炉厂家；江苏热处理炉；企业资质；制造能力</x:v>
      </x:c>
      <x:c r="F56" s="15" t="str">
        <x:v>供应商筛选</x:v>
      </x:c>
      <x:c r="G56" s="15" t="str">
        <x:v>品牌与厂家信任</x:v>
      </x:c>
      <x:c r="H56" s="15" t="str">
        <x:v>资料中心列表；主题相关产品/方案页</x:v>
      </x:c>
      <x:c r="I56" s="15" t="str">
        <x:v>相关产品；相关权威方案；项目案例；询价参数</x:v>
      </x:c>
      <x:c r="J56" s="15" t="str">
        <x:v>待 GSC 核验</x:v>
      </x:c>
      <x:c r="K56" s="15" t="str">
        <x:v>已上线</x:v>
      </x:c>
      <x:c r="L56" s="15"/>
      <x:c r="M56" s="15"/>
      <x:c r="N56" s="15"/>
      <x:c r="O56" s="15"/>
      <x:c r="P56" s="15" t="str">
        <x:v>钱波</x:v>
      </x:c>
      <x:c r="Q56" s="15" t="str">
        <x:v>P1</x:v>
      </x:c>
      <x:c r="R56" s="15" t="str">
        <x:v>接入 GSC 后按查询词与展现决定下一步</x:v>
      </x:c>
      <x:c r="S56" s="15" t="str">
        <x:v>URL 来源：2026-08-04 生产 sitemap；已排除 4 个本轮归并/关闭路由</x:v>
      </x:c>
    </x:row>
    <x:row r="57" ht="42" customHeight="1">
      <x:c r="A57" s="15" t="str">
        <x:v>https://www.jssngyl.cn/zh/news/jiang-su-re-chu-li-lu-chang-jia-tui-jian-xian-kan-gong-yi-he-gong-jian-zai-kan-chang-jia</x:v>
      </x:c>
      <x:c r="B57" s="15" t="str">
        <x:v>zh</x:v>
      </x:c>
      <x:c r="C57" s="15" t="str">
        <x:v>新闻/资料详情</x:v>
      </x:c>
      <x:c r="D57" s="15" t="str">
        <x:v>江苏热处理炉厂家推荐：先看工艺和工件，再看厂家</x:v>
      </x:c>
      <x:c r="E57" s="15" t="str">
        <x:v>工业炉厂家；江苏热处理炉；企业资质；制造能力</x:v>
      </x:c>
      <x:c r="F57" s="15" t="str">
        <x:v>供应商筛选</x:v>
      </x:c>
      <x:c r="G57" s="15" t="str">
        <x:v>品牌与厂家信任</x:v>
      </x:c>
      <x:c r="H57" s="15" t="str">
        <x:v>资料中心列表；主题相关产品/方案页</x:v>
      </x:c>
      <x:c r="I57" s="15" t="str">
        <x:v>相关产品；相关权威方案；项目案例；询价参数</x:v>
      </x:c>
      <x:c r="J57" s="15" t="str">
        <x:v>待 GSC 核验</x:v>
      </x:c>
      <x:c r="K57" s="15" t="str">
        <x:v>已上线</x:v>
      </x:c>
      <x:c r="L57" s="15"/>
      <x:c r="M57" s="15"/>
      <x:c r="N57" s="15"/>
      <x:c r="O57" s="15"/>
      <x:c r="P57" s="15" t="str">
        <x:v>钱波</x:v>
      </x:c>
      <x:c r="Q57" s="15" t="str">
        <x:v>P1</x:v>
      </x:c>
      <x:c r="R57" s="15" t="str">
        <x:v>接入 GSC 后按查询词与展现决定下一步</x:v>
      </x:c>
      <x:c r="S57" s="15" t="str">
        <x:v>URL 来源：2026-08-04 生产 sitemap；已排除 4 个本轮归并/关闭路由</x:v>
      </x:c>
    </x:row>
    <x:row r="58" ht="42" customHeight="1">
      <x:c r="A58" s="15" t="str">
        <x:v>https://www.jssngyl.cn/zh/news/jiang-su-gong-ye-lu-chang-jia-na-jia-hao-yong-5-ceng-neng-li-pan-duan-bu-kan-kong-fan-pai-ming</x:v>
      </x:c>
      <x:c r="B58" s="15" t="str">
        <x:v>zh</x:v>
      </x:c>
      <x:c r="C58" s="15" t="str">
        <x:v>新闻/资料详情</x:v>
      </x:c>
      <x:c r="D58" s="15" t="str">
        <x:v>江苏工业炉厂家哪家好？用5层能力判断，不看空泛排名</x:v>
      </x:c>
      <x:c r="E58" s="15" t="str">
        <x:v>工业炉厂家；江苏热处理炉；企业资质；制造能力</x:v>
      </x:c>
      <x:c r="F58" s="15" t="str">
        <x:v>供应商筛选</x:v>
      </x:c>
      <x:c r="G58" s="15" t="str">
        <x:v>品牌与厂家信任</x:v>
      </x:c>
      <x:c r="H58" s="15" t="str">
        <x:v>资料中心列表；主题相关产品/方案页</x:v>
      </x:c>
      <x:c r="I58" s="15" t="str">
        <x:v>相关产品；相关权威方案；项目案例；询价参数</x:v>
      </x:c>
      <x:c r="J58" s="15" t="str">
        <x:v>待 GSC 核验</x:v>
      </x:c>
      <x:c r="K58" s="15" t="str">
        <x:v>已上线</x:v>
      </x:c>
      <x:c r="L58" s="15"/>
      <x:c r="M58" s="15"/>
      <x:c r="N58" s="15"/>
      <x:c r="O58" s="15"/>
      <x:c r="P58" s="15" t="str">
        <x:v>钱波</x:v>
      </x:c>
      <x:c r="Q58" s="15" t="str">
        <x:v>P1</x:v>
      </x:c>
      <x:c r="R58" s="15" t="str">
        <x:v>接入 GSC 后按查询词与展现决定下一步</x:v>
      </x:c>
      <x:c r="S58" s="15" t="str">
        <x:v>URL 来源：2026-08-04 生产 sitemap；已排除 4 个本轮归并/关闭路由</x:v>
      </x:c>
    </x:row>
    <x:row r="59" ht="42" customHeight="1">
      <x:c r="A59" s="15" t="str">
        <x:v>https://www.jssngyl.cn/zh/news/jiang-su-gong-ye-lu-chang-jia-tui-jian-an-xiang-mu-lei-xing-shai-xuan-de-5-jia-dai-biao-xing-yang-ben</x:v>
      </x:c>
      <x:c r="B59" s="15" t="str">
        <x:v>zh</x:v>
      </x:c>
      <x:c r="C59" s="15" t="str">
        <x:v>新闻/资料详情</x:v>
      </x:c>
      <x:c r="D59" s="15" t="str">
        <x:v>江苏工业炉厂家推荐：按项目类型筛选的5家代表性样本</x:v>
      </x:c>
      <x:c r="E59" s="15" t="str">
        <x:v>工业炉厂家；江苏热处理炉；企业资质；制造能力</x:v>
      </x:c>
      <x:c r="F59" s="15" t="str">
        <x:v>供应商筛选</x:v>
      </x:c>
      <x:c r="G59" s="15" t="str">
        <x:v>品牌与厂家信任</x:v>
      </x:c>
      <x:c r="H59" s="15" t="str">
        <x:v>资料中心列表；主题相关产品/方案页</x:v>
      </x:c>
      <x:c r="I59" s="15" t="str">
        <x:v>相关产品；相关权威方案；项目案例；询价参数</x:v>
      </x:c>
      <x:c r="J59" s="15" t="str">
        <x:v>待 GSC 核验</x:v>
      </x:c>
      <x:c r="K59" s="15" t="str">
        <x:v>已上线</x:v>
      </x:c>
      <x:c r="L59" s="15"/>
      <x:c r="M59" s="15"/>
      <x:c r="N59" s="15"/>
      <x:c r="O59" s="15"/>
      <x:c r="P59" s="15" t="str">
        <x:v>钱波</x:v>
      </x:c>
      <x:c r="Q59" s="15" t="str">
        <x:v>P1</x:v>
      </x:c>
      <x:c r="R59" s="15" t="str">
        <x:v>接入 GSC 后按查询词与展现决定下一步</x:v>
      </x:c>
      <x:c r="S59" s="15" t="str">
        <x:v>URL 来源：2026-08-04 生产 sitemap；已排除 4 个本轮归并/关闭路由</x:v>
      </x:c>
    </x:row>
    <x:row r="60" ht="42" customHeight="1">
      <x:c r="A60" s="15" t="str">
        <x:v>https://www.jssngyl.cn/zh/news/tai-che-lu-bao-jia-xu-yao-ti-gong-na-xie-can-shu</x:v>
      </x:c>
      <x:c r="B60" s="15" t="str">
        <x:v>zh</x:v>
      </x:c>
      <x:c r="C60" s="15" t="str">
        <x:v>新闻/资料详情</x:v>
      </x:c>
      <x:c r="D60" s="15" t="str">
        <x:v>台车炉报价需要提供哪些参数？</x:v>
      </x:c>
      <x:c r="E60" s="15" t="str">
        <x:v>工业炉报价；选型；验收；风险；供应商比较</x:v>
      </x:c>
      <x:c r="F60" s="15" t="str">
        <x:v>信息查询</x:v>
      </x:c>
      <x:c r="G60" s="15" t="str">
        <x:v>采购问题与知识</x:v>
      </x:c>
      <x:c r="H60" s="15" t="str">
        <x:v>资料中心列表；主题相关产品/方案页</x:v>
      </x:c>
      <x:c r="I60" s="15" t="str">
        <x:v>相关产品；相关权威方案；项目案例；询价参数</x:v>
      </x:c>
      <x:c r="J60" s="15" t="str">
        <x:v>待 GSC 核验</x:v>
      </x:c>
      <x:c r="K60" s="15" t="str">
        <x:v>已上线</x:v>
      </x:c>
      <x:c r="L60" s="15"/>
      <x:c r="M60" s="15"/>
      <x:c r="N60" s="15"/>
      <x:c r="O60" s="15"/>
      <x:c r="P60" s="15" t="str">
        <x:v>钱波</x:v>
      </x:c>
      <x:c r="Q60" s="15" t="str">
        <x:v>P2</x:v>
      </x:c>
      <x:c r="R60" s="15" t="str">
        <x:v>接入 GSC 后按查询词与展现决定下一步</x:v>
      </x:c>
      <x:c r="S60" s="15" t="str">
        <x:v>URL 来源：2026-08-04 生产 sitemap；已排除 4 个本轮归并/关闭路由</x:v>
      </x:c>
    </x:row>
    <x:row r="61" ht="42" customHeight="1">
      <x:c r="A61" s="15" t="str">
        <x:v>https://www.jssngyl.cn/zh/news/tai-che-lu-shi-shen-me-zhu-yao-yong-lai-chu-li-shen-me-gong-jian</x:v>
      </x:c>
      <x:c r="B61" s="15" t="str">
        <x:v>zh</x:v>
      </x:c>
      <x:c r="C61" s="15" t="str">
        <x:v>新闻/资料详情</x:v>
      </x:c>
      <x:c r="D61" s="15" t="str">
        <x:v>台车炉是什么？主要用来处理什么工件？</x:v>
      </x:c>
      <x:c r="E61" s="15" t="str">
        <x:v>工业炉报价；选型；验收；风险；供应商比较</x:v>
      </x:c>
      <x:c r="F61" s="15" t="str">
        <x:v>信息查询</x:v>
      </x:c>
      <x:c r="G61" s="15" t="str">
        <x:v>采购问题与知识</x:v>
      </x:c>
      <x:c r="H61" s="15" t="str">
        <x:v>资料中心列表；主题相关产品/方案页</x:v>
      </x:c>
      <x:c r="I61" s="15" t="str">
        <x:v>相关产品；相关权威方案；项目案例；询价参数</x:v>
      </x:c>
      <x:c r="J61" s="15" t="str">
        <x:v>待 GSC 核验</x:v>
      </x:c>
      <x:c r="K61" s="15" t="str">
        <x:v>已上线</x:v>
      </x:c>
      <x:c r="L61" s="15"/>
      <x:c r="M61" s="15"/>
      <x:c r="N61" s="15"/>
      <x:c r="O61" s="15"/>
      <x:c r="P61" s="15" t="str">
        <x:v>钱波</x:v>
      </x:c>
      <x:c r="Q61" s="15" t="str">
        <x:v>P2</x:v>
      </x:c>
      <x:c r="R61" s="15" t="str">
        <x:v>接入 GSC 后按查询词与展现决定下一步</x:v>
      </x:c>
      <x:c r="S61" s="15" t="str">
        <x:v>URL 来源：2026-08-04 生产 sitemap；已排除 4 个本轮归并/关闭路由</x:v>
      </x:c>
    </x:row>
    <x:row r="62" ht="42" customHeight="1">
      <x:c r="A62" s="15" t="str">
        <x:v>https://www.jssngyl.cn/zh/news/jiang-su-gong-ye-lu-gai-zao-chang-jia-zen-me-xuan-an-gai-zao-lei-xing-dui-ying-kao-cha-bu-tong-neng-li</x:v>
      </x:c>
      <x:c r="B62" s="15" t="str">
        <x:v>zh</x:v>
      </x:c>
      <x:c r="C62" s="15" t="str">
        <x:v>新闻/资料详情</x:v>
      </x:c>
      <x:c r="D62" s="15" t="str">
        <x:v>江苏工业炉改造厂家怎么选？按改造类型，对应考察不同能力</x:v>
      </x:c>
      <x:c r="E62" s="15" t="str">
        <x:v>工业炉大修；节能改造；停产周期；FAT/SAT；改造验收</x:v>
      </x:c>
      <x:c r="F62" s="15" t="str">
        <x:v>供应商筛选</x:v>
      </x:c>
      <x:c r="G62" s="15" t="str">
        <x:v>工业炉改造</x:v>
      </x:c>
      <x:c r="H62" s="15" t="str">
        <x:v>资料中心列表；主题相关产品/方案页</x:v>
      </x:c>
      <x:c r="I62" s="15" t="str">
        <x:v>相关产品；相关权威方案；项目案例；询价参数</x:v>
      </x:c>
      <x:c r="J62" s="15" t="str">
        <x:v>待 GSC 核验</x:v>
      </x:c>
      <x:c r="K62" s="15" t="str">
        <x:v>已上线</x:v>
      </x:c>
      <x:c r="L62" s="15"/>
      <x:c r="M62" s="15"/>
      <x:c r="N62" s="15"/>
      <x:c r="O62" s="15"/>
      <x:c r="P62" s="15" t="str">
        <x:v>钱波</x:v>
      </x:c>
      <x:c r="Q62" s="15" t="str">
        <x:v>P2</x:v>
      </x:c>
      <x:c r="R62" s="15" t="str">
        <x:v>接入 GSC 后按查询词与展现决定下一步</x:v>
      </x:c>
      <x:c r="S62" s="15" t="str">
        <x:v>URL 来源：2026-08-04 生产 sitemap；已排除 4 个本轮归并/关闭路由</x:v>
      </x:c>
    </x:row>
    <x:row r="63" ht="42" customHeight="1">
      <x:c r="A63" s="15" t="str">
        <x:v>https://www.jssngyl.cn/zh/news/jiang-su-re-chu-li-lu-chang-jia-na-jia-hao-xian-kan-dong-ni-de-gong-yi-zai-xuan-dui-chang-jia</x:v>
      </x:c>
      <x:c r="B63" s="15" t="str">
        <x:v>zh</x:v>
      </x:c>
      <x:c r="C63" s="15" t="str">
        <x:v>新闻/资料详情</x:v>
      </x:c>
      <x:c r="D63" s="15" t="str">
        <x:v>江苏热处理炉厂家哪家好？先看懂你的工艺，再选对厂家</x:v>
      </x:c>
      <x:c r="E63" s="15" t="str">
        <x:v>工业炉厂家；江苏热处理炉；企业资质；制造能力</x:v>
      </x:c>
      <x:c r="F63" s="15" t="str">
        <x:v>供应商筛选</x:v>
      </x:c>
      <x:c r="G63" s="15" t="str">
        <x:v>品牌与厂家信任</x:v>
      </x:c>
      <x:c r="H63" s="15" t="str">
        <x:v>资料中心列表；主题相关产品/方案页</x:v>
      </x:c>
      <x:c r="I63" s="15" t="str">
        <x:v>相关产品；相关权威方案；项目案例；询价参数</x:v>
      </x:c>
      <x:c r="J63" s="15" t="str">
        <x:v>待 GSC 核验</x:v>
      </x:c>
      <x:c r="K63" s="15" t="str">
        <x:v>已上线</x:v>
      </x:c>
      <x:c r="L63" s="15"/>
      <x:c r="M63" s="15"/>
      <x:c r="N63" s="15"/>
      <x:c r="O63" s="15"/>
      <x:c r="P63" s="15" t="str">
        <x:v>钱波</x:v>
      </x:c>
      <x:c r="Q63" s="15" t="str">
        <x:v>P1</x:v>
      </x:c>
      <x:c r="R63" s="15" t="str">
        <x:v>接入 GSC 后按查询词与展现决定下一步</x:v>
      </x:c>
      <x:c r="S63" s="15" t="str">
        <x:v>URL 来源：2026-08-04 生产 sitemap；已排除 4 个本轮归并/关闭路由</x:v>
      </x:c>
    </x:row>
    <x:row r="64" ht="42" customHeight="1">
      <x:c r="A64" s="15" t="str">
        <x:v>https://www.jssngyl.cn/zh/news/jiang-su-gong-ye-lu-chang-jia-na-jia-hao-5-lei-chang-jia-neng-li-dui-bi-yu-xuan-ze-biao-zhun</x:v>
      </x:c>
      <x:c r="B64" s="15" t="str">
        <x:v>zh</x:v>
      </x:c>
      <x:c r="C64" s="15" t="str">
        <x:v>新闻/资料详情</x:v>
      </x:c>
      <x:c r="D64" s="15" t="str">
        <x:v>江苏工业炉厂家哪家好？5类厂家能力对比与选择标准</x:v>
      </x:c>
      <x:c r="E64" s="15" t="str">
        <x:v>工业炉厂家；江苏热处理炉；企业资质；制造能力</x:v>
      </x:c>
      <x:c r="F64" s="15" t="str">
        <x:v>供应商筛选</x:v>
      </x:c>
      <x:c r="G64" s="15" t="str">
        <x:v>品牌与厂家信任</x:v>
      </x:c>
      <x:c r="H64" s="15" t="str">
        <x:v>资料中心列表；主题相关产品/方案页</x:v>
      </x:c>
      <x:c r="I64" s="15" t="str">
        <x:v>相关产品；相关权威方案；项目案例；询价参数</x:v>
      </x:c>
      <x:c r="J64" s="15" t="str">
        <x:v>待 GSC 核验</x:v>
      </x:c>
      <x:c r="K64" s="15" t="str">
        <x:v>已上线</x:v>
      </x:c>
      <x:c r="L64" s="15"/>
      <x:c r="M64" s="15"/>
      <x:c r="N64" s="15"/>
      <x:c r="O64" s="15"/>
      <x:c r="P64" s="15" t="str">
        <x:v>钱波</x:v>
      </x:c>
      <x:c r="Q64" s="15" t="str">
        <x:v>P1</x:v>
      </x:c>
      <x:c r="R64" s="15" t="str">
        <x:v>接入 GSC 后按查询词与展现决定下一步</x:v>
      </x:c>
      <x:c r="S64" s="15" t="str">
        <x:v>URL 来源：2026-08-04 生产 sitemap；已排除 4 个本轮归并/关闭路由</x:v>
      </x:c>
    </x:row>
    <x:row r="65" ht="42" customHeight="1">
      <x:c r="A65" s="15" t="str">
        <x:v>https://www.jssngyl.cn/zh/news/she-bei-ban-qian-ting-chan-chong-qi-er-shou-lu-zai-zhi-zao-gong-ye-lu-te-shu-chang-jing-gai-zao-zen-me-chu-li</x:v>
      </x:c>
      <x:c r="B65" s="15" t="str">
        <x:v>zh</x:v>
      </x:c>
      <x:c r="C65" s="15" t="str">
        <x:v>新闻/资料详情</x:v>
      </x:c>
      <x:c r="D65" s="15" t="str">
        <x:v>设备搬迁、停产重启、二手炉再制造：工业炉特殊场景改造怎么处理？</x:v>
      </x:c>
      <x:c r="E65" s="15" t="str">
        <x:v>工业炉大修；节能改造；停产周期；FAT/SAT；改造验收</x:v>
      </x:c>
      <x:c r="F65" s="15" t="str">
        <x:v>信息查询</x:v>
      </x:c>
      <x:c r="G65" s="15" t="str">
        <x:v>工业炉改造</x:v>
      </x:c>
      <x:c r="H65" s="15" t="str">
        <x:v>资料中心列表；主题相关产品/方案页</x:v>
      </x:c>
      <x:c r="I65" s="15" t="str">
        <x:v>相关产品；相关权威方案；项目案例；询价参数</x:v>
      </x:c>
      <x:c r="J65" s="15" t="str">
        <x:v>待 GSC 核验</x:v>
      </x:c>
      <x:c r="K65" s="15" t="str">
        <x:v>已上线</x:v>
      </x:c>
      <x:c r="L65" s="15"/>
      <x:c r="M65" s="15"/>
      <x:c r="N65" s="15"/>
      <x:c r="O65" s="15"/>
      <x:c r="P65" s="15" t="str">
        <x:v>钱波</x:v>
      </x:c>
      <x:c r="Q65" s="15" t="str">
        <x:v>P2</x:v>
      </x:c>
      <x:c r="R65" s="15" t="str">
        <x:v>接入 GSC 后按查询词与展现决定下一步</x:v>
      </x:c>
      <x:c r="S65" s="15" t="str">
        <x:v>URL 来源：2026-08-04 生产 sitemap；已排除 4 个本轮归并/关闭路由</x:v>
      </x:c>
    </x:row>
    <x:row r="66" ht="42" customHeight="1">
      <x:c r="A66" s="15" t="str">
        <x:v>https://www.jssngyl.cn/zh/news/gong-ye-lu-jie-neng-gai-zao-zen-me-zuo-cong-lu-chen-bao-wen-kong-zhi-xi-tong-dao-yan-qi-yu-re-hui-shou</x:v>
      </x:c>
      <x:c r="B66" s="15" t="str">
        <x:v>zh</x:v>
      </x:c>
      <x:c r="C66" s="15" t="str">
        <x:v>新闻/资料详情</x:v>
      </x:c>
      <x:c r="D66" s="15" t="str">
        <x:v>工业炉节能改造怎么做？从炉衬保温、控制系统到烟气余热回收</x:v>
      </x:c>
      <x:c r="E66" s="15" t="str">
        <x:v>工业炉大修；节能改造；停产周期；FAT/SAT；改造验收</x:v>
      </x:c>
      <x:c r="F66" s="15" t="str">
        <x:v>信息查询</x:v>
      </x:c>
      <x:c r="G66" s="15" t="str">
        <x:v>工业炉改造</x:v>
      </x:c>
      <x:c r="H66" s="15" t="str">
        <x:v>资料中心列表；主题相关产品/方案页</x:v>
      </x:c>
      <x:c r="I66" s="15" t="str">
        <x:v>相关产品；相关权威方案；项目案例；询价参数</x:v>
      </x:c>
      <x:c r="J66" s="15" t="str">
        <x:v>待 GSC 核验</x:v>
      </x:c>
      <x:c r="K66" s="15" t="str">
        <x:v>已上线</x:v>
      </x:c>
      <x:c r="L66" s="15"/>
      <x:c r="M66" s="15"/>
      <x:c r="N66" s="15"/>
      <x:c r="O66" s="15"/>
      <x:c r="P66" s="15" t="str">
        <x:v>钱波</x:v>
      </x:c>
      <x:c r="Q66" s="15" t="str">
        <x:v>P2</x:v>
      </x:c>
      <x:c r="R66" s="15" t="str">
        <x:v>接入 GSC 后按查询词与展现决定下一步</x:v>
      </x:c>
      <x:c r="S66" s="15" t="str">
        <x:v>URL 来源：2026-08-04 生产 sitemap；已排除 4 个本轮归并/关闭路由</x:v>
      </x:c>
    </x:row>
    <x:row r="67" ht="42" customHeight="1">
      <x:c r="A67" s="15" t="str">
        <x:v>https://www.jssngyl.cn/zh/news/re-chu-li-lu-gai-zao-qian-xu-yao-zhun-bei-na-xie-zi-liao-yi-fen-gei-chang-jia-gou-tong-de-ping-gu-qing-dan</x:v>
      </x:c>
      <x:c r="B67" s="15" t="str">
        <x:v>zh</x:v>
      </x:c>
      <x:c r="C67" s="15" t="str">
        <x:v>新闻/资料详情</x:v>
      </x:c>
      <x:c r="D67" s="15" t="str">
        <x:v>热处理炉改造前需要准备哪些资料？一份给厂家沟通的评估清单</x:v>
      </x:c>
      <x:c r="E67" s="15" t="str">
        <x:v>工业炉大修；节能改造；停产周期；FAT/SAT；改造验收</x:v>
      </x:c>
      <x:c r="F67" s="15" t="str">
        <x:v>供应商筛选</x:v>
      </x:c>
      <x:c r="G67" s="15" t="str">
        <x:v>工业炉改造</x:v>
      </x:c>
      <x:c r="H67" s="15" t="str">
        <x:v>资料中心列表；主题相关产品/方案页</x:v>
      </x:c>
      <x:c r="I67" s="15" t="str">
        <x:v>相关产品；相关权威方案；项目案例；询价参数</x:v>
      </x:c>
      <x:c r="J67" s="15" t="str">
        <x:v>待 GSC 核验</x:v>
      </x:c>
      <x:c r="K67" s="15" t="str">
        <x:v>已上线</x:v>
      </x:c>
      <x:c r="L67" s="15"/>
      <x:c r="M67" s="15"/>
      <x:c r="N67" s="15"/>
      <x:c r="O67" s="15"/>
      <x:c r="P67" s="15" t="str">
        <x:v>钱波</x:v>
      </x:c>
      <x:c r="Q67" s="15" t="str">
        <x:v>P2</x:v>
      </x:c>
      <x:c r="R67" s="15" t="str">
        <x:v>接入 GSC 后按查询词与展现决定下一步</x:v>
      </x:c>
      <x:c r="S67" s="15" t="str">
        <x:v>URL 来源：2026-08-04 生产 sitemap；已排除 4 个本轮归并/关闭路由</x:v>
      </x:c>
    </x:row>
    <x:row r="68" ht="42" customHeight="1">
      <x:c r="A68" s="15" t="str">
        <x:v>https://www.jssngyl.cn/zh/news/re-chu-li-lu-jie-neng-gai-zao-duo-shao-qian-fei-yong-gou-cheng-yu-suan-ying-xiang-yin-su-he-xun-jia-qian-zhun-bei</x:v>
      </x:c>
      <x:c r="B68" s="15" t="str">
        <x:v>zh</x:v>
      </x:c>
      <x:c r="C68" s="15" t="str">
        <x:v>新闻/资料详情</x:v>
      </x:c>
      <x:c r="D68" s="15" t="str">
        <x:v>热处理炉节能改造多少钱？费用构成、预算影响因素和询价前准备</x:v>
      </x:c>
      <x:c r="E68" s="15" t="str">
        <x:v>工业炉大修；节能改造；停产周期；FAT/SAT；改造验收</x:v>
      </x:c>
      <x:c r="F68" s="15" t="str">
        <x:v>信息查询</x:v>
      </x:c>
      <x:c r="G68" s="15" t="str">
        <x:v>工业炉改造</x:v>
      </x:c>
      <x:c r="H68" s="15" t="str">
        <x:v>资料中心列表；主题相关产品/方案页</x:v>
      </x:c>
      <x:c r="I68" s="15" t="str">
        <x:v>相关产品；相关权威方案；项目案例；询价参数</x:v>
      </x:c>
      <x:c r="J68" s="15" t="str">
        <x:v>待 GSC 核验</x:v>
      </x:c>
      <x:c r="K68" s="15" t="str">
        <x:v>已上线</x:v>
      </x:c>
      <x:c r="L68" s="15"/>
      <x:c r="M68" s="15"/>
      <x:c r="N68" s="15"/>
      <x:c r="O68" s="15"/>
      <x:c r="P68" s="15" t="str">
        <x:v>钱波</x:v>
      </x:c>
      <x:c r="Q68" s="15" t="str">
        <x:v>P2</x:v>
      </x:c>
      <x:c r="R68" s="15" t="str">
        <x:v>接入 GSC 后按查询词与展现决定下一步</x:v>
      </x:c>
      <x:c r="S68" s="15" t="str">
        <x:v>URL 来源：2026-08-04 生产 sitemap；已排除 4 个本轮归并/关闭路由</x:v>
      </x:c>
    </x:row>
    <x:row r="69" ht="42" customHeight="1">
      <x:c r="A69" s="15" t="str">
        <x:v>https://www.jssngyl.cn/zh/news/gong-ye-lu-gai-zao-yan-shou-kan-na-xie-zhi-biao-cong-wen-du-jun-yun-xing-neng-hao-dao-kong-zhi-xi-tong-wen-ding-xing</x:v>
      </x:c>
      <x:c r="B69" s="15" t="str">
        <x:v>zh</x:v>
      </x:c>
      <x:c r="C69" s="15" t="str">
        <x:v>新闻/资料详情</x:v>
      </x:c>
      <x:c r="D69" s="15" t="str">
        <x:v>工业炉改造验收看哪些指标？从温度均匀性、能耗到控制系统稳定性</x:v>
      </x:c>
      <x:c r="E69" s="15" t="str">
        <x:v>工业炉大修；节能改造；停产周期；FAT/SAT；改造验收</x:v>
      </x:c>
      <x:c r="F69" s="15" t="str">
        <x:v>信息查询</x:v>
      </x:c>
      <x:c r="G69" s="15" t="str">
        <x:v>工业炉改造</x:v>
      </x:c>
      <x:c r="H69" s="15" t="str">
        <x:v>资料中心列表；主题相关产品/方案页</x:v>
      </x:c>
      <x:c r="I69" s="15" t="str">
        <x:v>相关产品；相关权威方案；项目案例；询价参数</x:v>
      </x:c>
      <x:c r="J69" s="15" t="str">
        <x:v>待 GSC 核验</x:v>
      </x:c>
      <x:c r="K69" s="15" t="str">
        <x:v>已上线</x:v>
      </x:c>
      <x:c r="L69" s="15"/>
      <x:c r="M69" s="15"/>
      <x:c r="N69" s="15"/>
      <x:c r="O69" s="15"/>
      <x:c r="P69" s="15" t="str">
        <x:v>钱波</x:v>
      </x:c>
      <x:c r="Q69" s="15" t="str">
        <x:v>P2</x:v>
      </x:c>
      <x:c r="R69" s="15" t="str">
        <x:v>接入 GSC 后按查询词与展现决定下一步</x:v>
      </x:c>
      <x:c r="S69" s="15" t="str">
        <x:v>URL 来源：2026-08-04 生产 sitemap；已排除 4 个本轮归并/关闭路由</x:v>
      </x:c>
    </x:row>
    <x:row r="70" ht="42" customHeight="1">
      <x:c r="A70" s="15" t="str">
        <x:v>https://www.jssngyl.cn/zh/news/re-chu-li-lu-da-xiu-chang-jia-zen-me-xuan-cong-lu-ti-jie-gou-kong-wen-xi-tong-dao-shou-hou-neng-li-de-pan-duan-biao-zhun</x:v>
      </x:c>
      <x:c r="B70" s="15" t="str">
        <x:v>zh</x:v>
      </x:c>
      <x:c r="C70" s="15" t="str">
        <x:v>新闻/资料详情</x:v>
      </x:c>
      <x:c r="D70" s="15" t="str">
        <x:v>热处理炉大修厂家怎么选？从炉体结构、控温系统到售后能力的判断标准</x:v>
      </x:c>
      <x:c r="E70" s="15" t="str">
        <x:v>工业炉大修；节能改造；停产周期；FAT/SAT；改造验收</x:v>
      </x:c>
      <x:c r="F70" s="15" t="str">
        <x:v>供应商筛选</x:v>
      </x:c>
      <x:c r="G70" s="15" t="str">
        <x:v>工业炉改造</x:v>
      </x:c>
      <x:c r="H70" s="15" t="str">
        <x:v>资料中心列表；主题相关产品/方案页</x:v>
      </x:c>
      <x:c r="I70" s="15" t="str">
        <x:v>相关产品；相关权威方案；项目案例；询价参数</x:v>
      </x:c>
      <x:c r="J70" s="15" t="str">
        <x:v>待 GSC 核验</x:v>
      </x:c>
      <x:c r="K70" s="15" t="str">
        <x:v>已上线</x:v>
      </x:c>
      <x:c r="L70" s="15"/>
      <x:c r="M70" s="15"/>
      <x:c r="N70" s="15"/>
      <x:c r="O70" s="15"/>
      <x:c r="P70" s="15" t="str">
        <x:v>钱波</x:v>
      </x:c>
      <x:c r="Q70" s="15" t="str">
        <x:v>P2</x:v>
      </x:c>
      <x:c r="R70" s="15" t="str">
        <x:v>接入 GSC 后按查询词与展现决定下一步</x:v>
      </x:c>
      <x:c r="S70" s="15" t="str">
        <x:v>URL 来源：2026-08-04 生产 sitemap；已排除 4 个本轮归并/关闭路由</x:v>
      </x:c>
    </x:row>
    <x:row r="71" ht="42" customHeight="1">
      <x:c r="A71" s="15" t="str">
        <x:v>https://www.jssngyl.cn/zh/news/lao-jiu-re-chu-li-lu-shi-da-xiu-hao-hai-shi-zhi-jie-mai-xin-de-pan-duan-biao-zhun-he-gai-zao-fang-an-zen-me-xuan</x:v>
      </x:c>
      <x:c r="B71" s="15" t="str">
        <x:v>zh</x:v>
      </x:c>
      <x:c r="C71" s="15" t="str">
        <x:v>新闻/资料详情</x:v>
      </x:c>
      <x:c r="D71" s="15" t="str">
        <x:v>老旧热处理炉是大修好，还是直接买新的？判断标准和改造方案怎么选</x:v>
      </x:c>
      <x:c r="E71" s="15" t="str">
        <x:v>工业炉大修；节能改造；停产周期；FAT/SAT；改造验收</x:v>
      </x:c>
      <x:c r="F71" s="15" t="str">
        <x:v>信息查询</x:v>
      </x:c>
      <x:c r="G71" s="15" t="str">
        <x:v>工业炉改造</x:v>
      </x:c>
      <x:c r="H71" s="15" t="str">
        <x:v>资料中心列表；主题相关产品/方案页</x:v>
      </x:c>
      <x:c r="I71" s="15" t="str">
        <x:v>相关产品；相关权威方案；项目案例；询价参数</x:v>
      </x:c>
      <x:c r="J71" s="15" t="str">
        <x:v>待 GSC 核验</x:v>
      </x:c>
      <x:c r="K71" s="15" t="str">
        <x:v>已上线</x:v>
      </x:c>
      <x:c r="L71" s="15"/>
      <x:c r="M71" s="15"/>
      <x:c r="N71" s="15"/>
      <x:c r="O71" s="15"/>
      <x:c r="P71" s="15" t="str">
        <x:v>钱波</x:v>
      </x:c>
      <x:c r="Q71" s="15" t="str">
        <x:v>P2</x:v>
      </x:c>
      <x:c r="R71" s="15" t="str">
        <x:v>接入 GSC 后按查询词与展现决定下一步</x:v>
      </x:c>
      <x:c r="S71" s="15" t="str">
        <x:v>URL 来源：2026-08-04 生产 sitemap；已排除 4 个本轮归并/关闭路由</x:v>
      </x:c>
    </x:row>
    <x:row r="72" ht="42" customHeight="1">
      <x:c r="A72" s="15" t="str">
        <x:v>https://www.jssngyl.cn/zh/news/gong-ye-lu-jie-neng-gai-zao-zen-me-zuo-cong-ran-shao-xi-tong-lu-chen-fan-xin-dao-kong-zhi-xi-tong-sheng-ji</x:v>
      </x:c>
      <x:c r="B72" s="15" t="str">
        <x:v>zh</x:v>
      </x:c>
      <x:c r="C72" s="15" t="str">
        <x:v>新闻/资料详情</x:v>
      </x:c>
      <x:c r="D72" s="15" t="str">
        <x:v>工业炉节能改造怎么做？从燃烧系统、炉衬翻新到控制系统升级</x:v>
      </x:c>
      <x:c r="E72" s="15" t="str">
        <x:v>工业炉大修；节能改造；停产周期；FAT/SAT；改造验收</x:v>
      </x:c>
      <x:c r="F72" s="15" t="str">
        <x:v>信息查询</x:v>
      </x:c>
      <x:c r="G72" s="15" t="str">
        <x:v>工业炉改造</x:v>
      </x:c>
      <x:c r="H72" s="15" t="str">
        <x:v>资料中心列表；主题相关产品/方案页</x:v>
      </x:c>
      <x:c r="I72" s="15" t="str">
        <x:v>相关产品；相关权威方案；项目案例；询价参数</x:v>
      </x:c>
      <x:c r="J72" s="15" t="str">
        <x:v>待 GSC 核验</x:v>
      </x:c>
      <x:c r="K72" s="15" t="str">
        <x:v>已上线</x:v>
      </x:c>
      <x:c r="L72" s="15"/>
      <x:c r="M72" s="15"/>
      <x:c r="N72" s="15"/>
      <x:c r="O72" s="15"/>
      <x:c r="P72" s="15" t="str">
        <x:v>钱波</x:v>
      </x:c>
      <x:c r="Q72" s="15" t="str">
        <x:v>P2</x:v>
      </x:c>
      <x:c r="R72" s="15" t="str">
        <x:v>接入 GSC 后按查询词与展现决定下一步</x:v>
      </x:c>
      <x:c r="S72" s="15" t="str">
        <x:v>URL 来源：2026-08-04 生产 sitemap；已排除 4 个本轮归并/关闭路由</x:v>
      </x:c>
    </x:row>
    <x:row r="73" ht="42" customHeight="1">
      <x:c r="A73" s="15" t="str">
        <x:v>https://www.jssngyl.cn/zh/news/xiang-shi-lu-he-ma-fu-lu-de-qu-bie-6-ge-wei-du-de-gong-ye-xuan-xing-zhi-nan</x:v>
      </x:c>
      <x:c r="B73" s="15" t="str">
        <x:v>zh</x:v>
      </x:c>
      <x:c r="C73" s="15" t="str">
        <x:v>新闻/资料详情</x:v>
      </x:c>
      <x:c r="D73" s="15" t="str">
        <x:v>箱式炉和马弗炉的区别？6 个维度的工业选型指南</x:v>
      </x:c>
      <x:c r="E73" s="15" t="str">
        <x:v>工业炉报价；选型；验收；风险；供应商比较</x:v>
      </x:c>
      <x:c r="F73" s="15" t="str">
        <x:v>信息查询</x:v>
      </x:c>
      <x:c r="G73" s="15" t="str">
        <x:v>采购问题与知识</x:v>
      </x:c>
      <x:c r="H73" s="15" t="str">
        <x:v>资料中心列表；主题相关产品/方案页</x:v>
      </x:c>
      <x:c r="I73" s="15" t="str">
        <x:v>相关产品；相关权威方案；项目案例；询价参数</x:v>
      </x:c>
      <x:c r="J73" s="15" t="str">
        <x:v>待 GSC 核验</x:v>
      </x:c>
      <x:c r="K73" s="15" t="str">
        <x:v>已上线</x:v>
      </x:c>
      <x:c r="L73" s="15"/>
      <x:c r="M73" s="15"/>
      <x:c r="N73" s="15"/>
      <x:c r="O73" s="15"/>
      <x:c r="P73" s="15" t="str">
        <x:v>钱波</x:v>
      </x:c>
      <x:c r="Q73" s="15" t="str">
        <x:v>P2</x:v>
      </x:c>
      <x:c r="R73" s="15" t="str">
        <x:v>接入 GSC 后按查询词与展现决定下一步</x:v>
      </x:c>
      <x:c r="S73" s="15" t="str">
        <x:v>URL 来源：2026-08-04 生产 sitemap；已排除 4 个本轮归并/关闭路由</x:v>
      </x:c>
    </x:row>
    <x:row r="74" ht="42" customHeight="1">
      <x:c r="A74" s="15" t="str">
        <x:v>https://www.jssngyl.cn/zh/news/jiang-su-su-neng-gong-ye-lu-zai-2026-gong-ye-lu-yu-re-chu-li-ji-shu-jiao-liu-hui-shang-fen-xiang-zhi-neng-gong-yi-jing-yan</x:v>
      </x:c>
      <x:c r="B74" s="15" t="str">
        <x:v>zh</x:v>
      </x:c>
      <x:c r="C74" s="15" t="str">
        <x:v>新闻/资料详情</x:v>
      </x:c>
      <x:c r="D74" s="15" t="str">
        <x:v>江苏苏能工业炉在2026工业炉与热处理技术交流会上分享智能工艺经验</x:v>
      </x:c>
      <x:c r="E74" s="15" t="str">
        <x:v>工业炉厂家；江苏热处理炉；企业资质；制造能力</x:v>
      </x:c>
      <x:c r="F74" s="15" t="str">
        <x:v>信息查询</x:v>
      </x:c>
      <x:c r="G74" s="15" t="str">
        <x:v>品牌与厂家信任</x:v>
      </x:c>
      <x:c r="H74" s="15" t="str">
        <x:v>资料中心列表；主题相关产品/方案页</x:v>
      </x:c>
      <x:c r="I74" s="15" t="str">
        <x:v>相关产品；相关权威方案；项目案例；询价参数</x:v>
      </x:c>
      <x:c r="J74" s="15" t="str">
        <x:v>待 GSC 核验</x:v>
      </x:c>
      <x:c r="K74" s="15" t="str">
        <x:v>已上线</x:v>
      </x:c>
      <x:c r="L74" s="15"/>
      <x:c r="M74" s="15"/>
      <x:c r="N74" s="15"/>
      <x:c r="O74" s="15"/>
      <x:c r="P74" s="15" t="str">
        <x:v>钱波</x:v>
      </x:c>
      <x:c r="Q74" s="15" t="str">
        <x:v>P1</x:v>
      </x:c>
      <x:c r="R74" s="15" t="str">
        <x:v>接入 GSC 后按查询词与展现决定下一步</x:v>
      </x:c>
      <x:c r="S74" s="15" t="str">
        <x:v>URL 来源：2026-08-04 生产 sitemap；已排除 4 个本轮归并/关闭路由</x:v>
      </x:c>
    </x:row>
    <x:row r="75" ht="42" customHeight="1">
      <x:c r="A75" s="15" t="str">
        <x:v>https://www.jssngyl.cn/zh/news/jiang-su-su-neng-gong-ye-lu-zai-2026-quan-guo-gang-cai-re-chu-li-ji-shu-lun-tan-fen-xiang-gong-yi-chuang-xin</x:v>
      </x:c>
      <x:c r="B75" s="15" t="str">
        <x:v>zh</x:v>
      </x:c>
      <x:c r="C75" s="15" t="str">
        <x:v>新闻/资料详情</x:v>
      </x:c>
      <x:c r="D75" s="15" t="str">
        <x:v>江苏苏能工业炉在2026全国钢材热处理技术论坛分享工艺创新</x:v>
      </x:c>
      <x:c r="E75" s="15" t="str">
        <x:v>工业炉厂家；江苏热处理炉；企业资质；制造能力</x:v>
      </x:c>
      <x:c r="F75" s="15" t="str">
        <x:v>信息查询</x:v>
      </x:c>
      <x:c r="G75" s="15" t="str">
        <x:v>品牌与厂家信任</x:v>
      </x:c>
      <x:c r="H75" s="15" t="str">
        <x:v>资料中心列表；主题相关产品/方案页</x:v>
      </x:c>
      <x:c r="I75" s="15" t="str">
        <x:v>相关产品；相关权威方案；项目案例；询价参数</x:v>
      </x:c>
      <x:c r="J75" s="15" t="str">
        <x:v>待 GSC 核验</x:v>
      </x:c>
      <x:c r="K75" s="15" t="str">
        <x:v>已上线</x:v>
      </x:c>
      <x:c r="L75" s="15"/>
      <x:c r="M75" s="15"/>
      <x:c r="N75" s="15"/>
      <x:c r="O75" s="15"/>
      <x:c r="P75" s="15" t="str">
        <x:v>钱波</x:v>
      </x:c>
      <x:c r="Q75" s="15" t="str">
        <x:v>P1</x:v>
      </x:c>
      <x:c r="R75" s="15" t="str">
        <x:v>接入 GSC 后按查询词与展现决定下一步</x:v>
      </x:c>
      <x:c r="S75" s="15" t="str">
        <x:v>URL 来源：2026-08-04 生产 sitemap；已排除 4 个本轮归并/关闭路由</x:v>
      </x:c>
    </x:row>
    <x:row r="76" ht="42" customHeight="1">
      <x:c r="A76" s="15" t="str">
        <x:v>https://www.jssngyl.cn/zh/news/jiang-su-su-neng-gong-ye-lu-zhuan-di-shi-re-chu-li-lu-ji-shu-sheng-ji-ji-ying-yong-an-li</x:v>
      </x:c>
      <x:c r="B76" s="15" t="str">
        <x:v>zh</x:v>
      </x:c>
      <x:c r="C76" s="15" t="str">
        <x:v>新闻/资料详情</x:v>
      </x:c>
      <x:c r="D76" s="15" t="str">
        <x:v>江苏苏能工业炉转底式热处理炉技术升级及应用案例</x:v>
      </x:c>
      <x:c r="E76" s="15" t="str">
        <x:v>工业炉厂家；江苏热处理炉；企业资质；制造能力</x:v>
      </x:c>
      <x:c r="F76" s="15" t="str">
        <x:v>信息查询</x:v>
      </x:c>
      <x:c r="G76" s="15" t="str">
        <x:v>品牌与厂家信任</x:v>
      </x:c>
      <x:c r="H76" s="15" t="str">
        <x:v>资料中心列表；主题相关产品/方案页</x:v>
      </x:c>
      <x:c r="I76" s="15" t="str">
        <x:v>相关产品；相关权威方案；项目案例；询价参数</x:v>
      </x:c>
      <x:c r="J76" s="15" t="str">
        <x:v>待 GSC 核验</x:v>
      </x:c>
      <x:c r="K76" s="15" t="str">
        <x:v>已上线</x:v>
      </x:c>
      <x:c r="L76" s="15"/>
      <x:c r="M76" s="15"/>
      <x:c r="N76" s="15"/>
      <x:c r="O76" s="15"/>
      <x:c r="P76" s="15" t="str">
        <x:v>钱波</x:v>
      </x:c>
      <x:c r="Q76" s="15" t="str">
        <x:v>P1</x:v>
      </x:c>
      <x:c r="R76" s="15" t="str">
        <x:v>接入 GSC 后按查询词与展现决定下一步</x:v>
      </x:c>
      <x:c r="S76" s="15" t="str">
        <x:v>URL 来源：2026-08-04 生产 sitemap；已排除 4 个本轮归并/关闭路由</x:v>
      </x:c>
    </x:row>
    <x:row r="77" ht="42" customHeight="1">
      <x:c r="A77" s="15" t="str">
        <x:v>https://www.jssngyl.cn/zh/news/tong-si-zi-dong-hua-tui-huo-sheng-chan-xian-zhi-neng-hua-sheng-ji-yu-hang-ye-ying-yong</x:v>
      </x:c>
      <x:c r="B77" s="15" t="str">
        <x:v>zh</x:v>
      </x:c>
      <x:c r="C77" s="15" t="str">
        <x:v>新闻/资料详情</x:v>
      </x:c>
      <x:c r="D77" s="15" t="str">
        <x:v>铜丝自动化退火生产线智能化升级与行业应用</x:v>
      </x:c>
      <x:c r="E77" s="15" t="str">
        <x:v>退火生产线；固溶处理；网带炉；产能节拍；工艺验收</x:v>
      </x:c>
      <x:c r="F77" s="15" t="str">
        <x:v>信息查询</x:v>
      </x:c>
      <x:c r="G77" s="15" t="str">
        <x:v>连续热处理线</x:v>
      </x:c>
      <x:c r="H77" s="15" t="str">
        <x:v>资料中心列表；主题相关产品/方案页</x:v>
      </x:c>
      <x:c r="I77" s="15" t="str">
        <x:v>相关产品；相关权威方案；项目案例；询价参数</x:v>
      </x:c>
      <x:c r="J77" s="15" t="str">
        <x:v>待 GSC 核验</x:v>
      </x:c>
      <x:c r="K77" s="15" t="str">
        <x:v>已上线</x:v>
      </x:c>
      <x:c r="L77" s="15"/>
      <x:c r="M77" s="15"/>
      <x:c r="N77" s="15"/>
      <x:c r="O77" s="15"/>
      <x:c r="P77" s="15" t="str">
        <x:v>钱波</x:v>
      </x:c>
      <x:c r="Q77" s="15" t="str">
        <x:v>P2</x:v>
      </x:c>
      <x:c r="R77" s="15" t="str">
        <x:v>接入 GSC 后按查询词与展现决定下一步</x:v>
      </x:c>
      <x:c r="S77" s="15" t="str">
        <x:v>URL 来源：2026-08-04 生产 sitemap；已排除 4 个本轮归并/关闭路由</x:v>
      </x:c>
    </x:row>
    <x:row r="78" ht="42" customHeight="1">
      <x:c r="A78" s="15" t="str">
        <x:v>https://www.jssngyl.cn/zh/news/jiang-su-su-neng-gong-ye-lu-tui-huo-gu-rong-sheng-chan-xian-zhu-li-gang-cai-shen-jia-gong</x:v>
      </x:c>
      <x:c r="B78" s="15" t="str">
        <x:v>zh</x:v>
      </x:c>
      <x:c r="C78" s="15" t="str">
        <x:v>新闻/资料详情</x:v>
      </x:c>
      <x:c r="D78" s="15" t="str">
        <x:v>江苏苏能工业炉退火固溶生产线助力钢材深加工</x:v>
      </x:c>
      <x:c r="E78" s="15" t="str">
        <x:v>退火生产线；固溶处理；网带炉；产能节拍；工艺验收</x:v>
      </x:c>
      <x:c r="F78" s="15" t="str">
        <x:v>信息查询</x:v>
      </x:c>
      <x:c r="G78" s="15" t="str">
        <x:v>连续热处理线</x:v>
      </x:c>
      <x:c r="H78" s="15" t="str">
        <x:v>资料中心列表；主题相关产品/方案页</x:v>
      </x:c>
      <x:c r="I78" s="15" t="str">
        <x:v>相关产品；相关权威方案；项目案例；询价参数</x:v>
      </x:c>
      <x:c r="J78" s="15" t="str">
        <x:v>待 GSC 核验</x:v>
      </x:c>
      <x:c r="K78" s="15" t="str">
        <x:v>已上线</x:v>
      </x:c>
      <x:c r="L78" s="15"/>
      <x:c r="M78" s="15"/>
      <x:c r="N78" s="15"/>
      <x:c r="O78" s="15"/>
      <x:c r="P78" s="15" t="str">
        <x:v>钱波</x:v>
      </x:c>
      <x:c r="Q78" s="15" t="str">
        <x:v>P2</x:v>
      </x:c>
      <x:c r="R78" s="15" t="str">
        <x:v>接入 GSC 后按查询词与展现决定下一步</x:v>
      </x:c>
      <x:c r="S78" s="15" t="str">
        <x:v>URL 来源：2026-08-04 生产 sitemap；已排除 4 个本轮归并/关闭路由</x:v>
      </x:c>
    </x:row>
    <x:row r="79" ht="42" customHeight="1">
      <x:c r="A79" s="15" t="str">
        <x:v>https://www.jssngyl.cn/zh/news/jiang-su-su-neng-gong-ye-lu-xiang-shi-re-chu-li-lu-ti-sheng-zhong-xiao-pi-liang-sheng-chan-xiao-l</x:v>
      </x:c>
      <x:c r="B79" s="15" t="str">
        <x:v>zh</x:v>
      </x:c>
      <x:c r="C79" s="15" t="str">
        <x:v>新闻/资料详情</x:v>
      </x:c>
      <x:c r="D79" s="15" t="str">
        <x:v>江苏苏能工业炉箱式热处理炉提升中小批量生产效率</x:v>
      </x:c>
      <x:c r="E79" s="15" t="str">
        <x:v>工业炉厂家；江苏热处理炉；企业资质；制造能力</x:v>
      </x:c>
      <x:c r="F79" s="15" t="str">
        <x:v>信息查询</x:v>
      </x:c>
      <x:c r="G79" s="15" t="str">
        <x:v>品牌与厂家信任</x:v>
      </x:c>
      <x:c r="H79" s="15" t="str">
        <x:v>资料中心列表；主题相关产品/方案页</x:v>
      </x:c>
      <x:c r="I79" s="15" t="str">
        <x:v>相关产品；相关权威方案；项目案例；询价参数</x:v>
      </x:c>
      <x:c r="J79" s="15" t="str">
        <x:v>待 GSC 核验</x:v>
      </x:c>
      <x:c r="K79" s="15" t="str">
        <x:v>已上线</x:v>
      </x:c>
      <x:c r="L79" s="15"/>
      <x:c r="M79" s="15"/>
      <x:c r="N79" s="15"/>
      <x:c r="O79" s="15"/>
      <x:c r="P79" s="15" t="str">
        <x:v>钱波</x:v>
      </x:c>
      <x:c r="Q79" s="15" t="str">
        <x:v>P1</x:v>
      </x:c>
      <x:c r="R79" s="15" t="str">
        <x:v>接入 GSC 后按查询词与展现决定下一步</x:v>
      </x:c>
      <x:c r="S79" s="15" t="str">
        <x:v>URL 来源：2026-08-04 生产 sitemap；已排除 4 个本轮归并/关闭路由</x:v>
      </x:c>
    </x:row>
  </x:sheetData>
  <x:mergeCells>
    <x:mergeCell ref="A1:S1"/>
    <x:mergeCell ref="A2:S2"/>
  </x:mergeCells>
  <x:conditionalFormatting sqref="Q5:Q79">
    <x:cfRule type="containsText" dxfId="0" priority="1" operator="containsText" text="P0"/>
    <x:cfRule type="containsText" dxfId="1" priority="2" operator="containsText" text="P1"/>
  </x:conditionalFormatting>
  <x:conditionalFormatting sqref="J5:J79">
    <x:cfRule type="containsText" dxfId="2" priority="3" operator="containsText" text="待 GSC 核验"/>
  </x:conditionalFormatting>
  <x:dataValidations count="4">
    <x:dataValidation type="list" sqref="B5:B79">
      <x:formula1>"zh,en"</x:formula1>
    </x:dataValidation>
    <x:dataValidation type="list" sqref="J5:J79">
      <x:formula1>"待 GSC 核验,已收录,未收录,排除索引"</x:formula1>
    </x:dataValidation>
    <x:dataValidation type="list" sqref="K5:K79">
      <x:formula1>"已上线,待加强,待合并,待下线"</x:formula1>
    </x:dataValidation>
    <x:dataValidation type="list" sqref="Q5:Q79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d4a5afdcb42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 t="str">
        <x:v>主题集群覆盖概览</x:v>
      </x:c>
      <x:c r="B1" s="2"/>
      <x:c r="C1" s="2"/>
      <x:c r="D1" s="2"/>
      <x:c r="E1" s="2"/>
      <x:c r="F1" s="2"/>
    </x:row>
    <x:row r="3">
      <x:c r="A3" s="17" t="str">
        <x:v>主题集群</x:v>
      </x:c>
      <x:c r="B3" s="17" t="str">
        <x:v>URL 数</x:v>
      </x:c>
      <x:c r="C3" s="17" t="str">
        <x:v>P0</x:v>
      </x:c>
      <x:c r="D3" s="17" t="str">
        <x:v>P1</x:v>
      </x:c>
      <x:c r="E3" s="17" t="str">
        <x:v>中文页</x:v>
      </x:c>
      <x:c r="F3" s="17" t="str">
        <x:v>英文页</x:v>
      </x:c>
    </x:row>
    <x:row r="4">
      <x:c r="A4" s="18" t="str">
        <x:v>品牌与厂家信任</x:v>
      </x:c>
      <x:c r="B4" s="18" t="n">
        <x:f>COUNTIF('关键词地图'!$G$5:$G$79,A4)</x:f>
        <x:v>23</x:v>
      </x:c>
      <x:c r="C4" s="18" t="n">
        <x:f>COUNTIFS('关键词地图'!$G$5:$G$79,A4,'关键词地图'!$Q$5:$Q$79,"P0")</x:f>
        <x:v>4</x:v>
      </x:c>
      <x:c r="D4" s="18" t="n">
        <x:f>COUNTIFS('关键词地图'!$G$5:$G$79,A4,'关键词地图'!$Q$5:$Q$79,"P1")</x:f>
        <x:v>19</x:v>
      </x:c>
      <x:c r="E4" s="18" t="n">
        <x:f>COUNTIFS('关键词地图'!$G$5:$G$79,A4,'关键词地图'!$B$5:$B$79,"zh")</x:f>
        <x:v>19</x:v>
      </x:c>
      <x:c r="F4" s="18" t="n">
        <x:f>COUNTIFS('关键词地图'!$G$5:$G$79,A4,'关键词地图'!$B$5:$B$79,"en")</x:f>
        <x:v>4</x:v>
      </x:c>
    </x:row>
    <x:row r="5">
      <x:c r="A5" s="18" t="str">
        <x:v>工业炉改造</x:v>
      </x:c>
      <x:c r="B5" s="18" t="n">
        <x:f>COUNTIF('关键词地图'!$G$5:$G$79,A5)</x:f>
        <x:v>19</x:v>
      </x:c>
      <x:c r="C5" s="18" t="n">
        <x:f>COUNTIFS('关键词地图'!$G$5:$G$79,A5,'关键词地图'!$Q$5:$Q$79,"P0")</x:f>
        <x:v>0</x:v>
      </x:c>
      <x:c r="D5" s="18" t="n">
        <x:f>COUNTIFS('关键词地图'!$G$5:$G$79,A5,'关键词地图'!$Q$5:$Q$79,"P1")</x:f>
        <x:v>8</x:v>
      </x:c>
      <x:c r="E5" s="18" t="n">
        <x:f>COUNTIFS('关键词地图'!$G$5:$G$79,A5,'关键词地图'!$B$5:$B$79,"zh")</x:f>
        <x:v>19</x:v>
      </x:c>
      <x:c r="F5" s="18" t="n">
        <x:f>COUNTIFS('关键词地图'!$G$5:$G$79,A5,'关键词地图'!$B$5:$B$79,"en")</x:f>
        <x:v>0</x:v>
      </x:c>
    </x:row>
    <x:row r="6">
      <x:c r="A6" s="18" t="str">
        <x:v>炉型与产品选型</x:v>
      </x:c>
      <x:c r="B6" s="18" t="n">
        <x:f>COUNTIF('关键词地图'!$G$5:$G$79,A6)</x:f>
        <x:v>20</x:v>
      </x:c>
      <x:c r="C6" s="18" t="n">
        <x:f>COUNTIFS('关键词地图'!$G$5:$G$79,A6,'关键词地图'!$Q$5:$Q$79,"P0")</x:f>
        <x:v>18</x:v>
      </x:c>
      <x:c r="D6" s="18" t="n">
        <x:f>COUNTIFS('关键词地图'!$G$5:$G$79,A6,'关键词地图'!$Q$5:$Q$79,"P1")</x:f>
        <x:v>0</x:v>
      </x:c>
      <x:c r="E6" s="18" t="n">
        <x:f>COUNTIFS('关键词地图'!$G$5:$G$79,A6,'关键词地图'!$B$5:$B$79,"zh")</x:f>
        <x:v>8</x:v>
      </x:c>
      <x:c r="F6" s="18" t="n">
        <x:f>COUNTIFS('关键词地图'!$G$5:$G$79,A6,'关键词地图'!$B$5:$B$79,"en")</x:f>
        <x:v>12</x:v>
      </x:c>
    </x:row>
    <x:row r="7">
      <x:c r="A7" s="18" t="str">
        <x:v>连续热处理线</x:v>
      </x:c>
      <x:c r="B7" s="18" t="n">
        <x:f>COUNTIF('关键词地图'!$G$5:$G$79,A7)</x:f>
        <x:v>7</x:v>
      </x:c>
      <x:c r="C7" s="18" t="n">
        <x:f>COUNTIFS('关键词地图'!$G$5:$G$79,A7,'关键词地图'!$Q$5:$Q$79,"P0")</x:f>
        <x:v>4</x:v>
      </x:c>
      <x:c r="D7" s="18" t="n">
        <x:f>COUNTIFS('关键词地图'!$G$5:$G$79,A7,'关键词地图'!$Q$5:$Q$79,"P1")</x:f>
        <x:v>1</x:v>
      </x:c>
      <x:c r="E7" s="18" t="n">
        <x:f>COUNTIFS('关键词地图'!$G$5:$G$79,A7,'关键词地图'!$B$5:$B$79,"zh")</x:f>
        <x:v>7</x:v>
      </x:c>
      <x:c r="F7" s="18" t="n">
        <x:f>COUNTIFS('关键词地图'!$G$5:$G$79,A7,'关键词地图'!$B$5:$B$79,"en")</x:f>
        <x:v>0</x:v>
      </x:c>
    </x:row>
    <x:row r="8">
      <x:c r="A8" s="18" t="str">
        <x:v>采购问题与知识</x:v>
      </x:c>
      <x:c r="B8" s="18" t="n">
        <x:f>COUNTIF('关键词地图'!$G$5:$G$79,A8)</x:f>
        <x:v>3</x:v>
      </x:c>
      <x:c r="C8" s="18" t="n">
        <x:f>COUNTIFS('关键词地图'!$G$5:$G$79,A8,'关键词地图'!$Q$5:$Q$79,"P0")</x:f>
        <x:v>0</x:v>
      </x:c>
      <x:c r="D8" s="18" t="n">
        <x:f>COUNTIFS('关键词地图'!$G$5:$G$79,A8,'关键词地图'!$Q$5:$Q$79,"P1")</x:f>
        <x:v>0</x:v>
      </x:c>
      <x:c r="E8" s="18" t="n">
        <x:f>COUNTIFS('关键词地图'!$G$5:$G$79,A8,'关键词地图'!$B$5:$B$79,"zh")</x:f>
        <x:v>3</x:v>
      </x:c>
      <x:c r="F8" s="18" t="n">
        <x:f>COUNTIFS('关键词地图'!$G$5:$G$79,A8,'关键词地图'!$B$5:$B$79,"en")</x:f>
        <x:v>0</x:v>
      </x:c>
    </x:row>
    <x:row r="9">
      <x:c r="A9" s="18" t="str">
        <x:v>项目证据</x:v>
      </x:c>
      <x:c r="B9" s="18" t="n">
        <x:f>COUNTIF('关键词地图'!$G$5:$G$79,A9)</x:f>
        <x:v>3</x:v>
      </x:c>
      <x:c r="C9" s="18" t="n">
        <x:f>COUNTIFS('关键词地图'!$G$5:$G$79,A9,'关键词地图'!$Q$5:$Q$79,"P0")</x:f>
        <x:v>0</x:v>
      </x:c>
      <x:c r="D9" s="18" t="n">
        <x:f>COUNTIFS('关键词地图'!$G$5:$G$79,A9,'关键词地图'!$Q$5:$Q$79,"P1")</x:f>
        <x:v>3</x:v>
      </x:c>
      <x:c r="E9" s="18" t="n">
        <x:f>COUNTIFS('关键词地图'!$G$5:$G$79,A9,'关键词地图'!$B$5:$B$79,"zh")</x:f>
        <x:v>3</x:v>
      </x:c>
      <x:c r="F9" s="18" t="n">
        <x:f>COUNTIFS('关键词地图'!$G$5:$G$79,A9,'关键词地图'!$B$5:$B$79,"en")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2" t="str">
        <x:v>说明、边界与数据源</x:v>
      </x:c>
      <x:c r="B1" s="2"/>
      <x:c r="C1" s="2"/>
      <x:c r="D1" s="2"/>
    </x:row>
    <x:row r="3">
      <x:c r="A3" s="17" t="str">
        <x:v>项目</x:v>
      </x:c>
      <x:c r="B3" s="17" t="str">
        <x:v>当前口径</x:v>
      </x:c>
      <x:c r="C3" s="17" t="str">
        <x:v>下一步</x:v>
      </x:c>
      <x:c r="D3" s="17" t="str">
        <x:v>数据来源/证据</x:v>
      </x:c>
    </x:row>
    <x:row r="4" ht="50" customHeight="1">
      <x:c r="A4" s="20" t="str">
        <x:v>URL 范围</x:v>
      </x:c>
      <x:c r="B4" s="20" t="str">
        <x:v>75 个本轮修复后保留的正式可索引 URL</x:v>
      </x:c>
      <x:c r="C4" s="20" t="str">
        <x:v>部署后用新 sitemap 覆盖本表 URL</x:v>
      </x:c>
      <x:c r="D4" s="20" t="str">
        <x:v>2026-08-04 生产 sitemap.xml</x:v>
      </x:c>
    </x:row>
    <x:row r="5" ht="50" customHeight="1">
      <x:c r="A5" s="20" t="str">
        <x:v>排除 URL</x:v>
      </x:c>
      <x:c r="B5" s="20" t="str">
        <x:v>4 个：/en/news、/zh/strength、/zh/strength/certificates、重复新闻 -1</x:v>
      </x:c>
      <x:c r="C5" s="20" t="str">
        <x:v>部署后验证 404/308 与 sitemap 排除</x:v>
      </x:c>
      <x:c r="D5" s="20" t="str">
        <x:v>本轮 R-01/R-02/R-12 修复</x:v>
      </x:c>
    </x:row>
    <x:row r="6" ht="50" customHeight="1">
      <x:c r="A6" s="20" t="str">
        <x:v>GSC 数据</x:v>
      </x:c>
      <x:c r="B6" s="20" t="str">
        <x:v>展现、点击、平均排名当前全部留空</x:v>
      </x:c>
      <x:c r="C6" s="20" t="str">
        <x:v>接入官方 GSC 导出后回填，不用估算值</x:v>
      </x:c>
      <x:c r="D6" s="20" t="str">
        <x:v>暂无 GSC 可核验数据</x:v>
      </x:c>
    </x:row>
    <x:row r="7" ht="50" customHeight="1">
      <x:c r="A7" s="20" t="str">
        <x:v>收录状态</x:v>
      </x:c>
      <x:c r="B7" s="20" t="str">
        <x:v>统一标注“待 GSC 核验”</x:v>
      </x:c>
      <x:c r="C7" s="20" t="str">
        <x:v>不用 sitemap 存在代替收录证据</x:v>
      </x:c>
      <x:c r="D7" s="20" t="str">
        <x:v>收录与提交/抓取分开</x:v>
      </x:c>
    </x:row>
    <x:row r="8" ht="50" customHeight="1">
      <x:c r="A8" s="20" t="str">
        <x:v>关键词口径</x:v>
      </x:c>
      <x:c r="B8" s="20" t="str">
        <x:v>每个 URL 只设 1 个主关键词，次词用于补足语义</x:v>
      </x:c>
      <x:c r="C8" s="20" t="str">
        <x:v>出现同意图竞争时优先合并或重定位</x:v>
      </x:c>
      <x:c r="D8" s="20" t="str">
        <x:v>页面路由、标题与现有主题集群</x:v>
      </x:c>
    </x:row>
    <x:row r="9" ht="50" customHeight="1">
      <x:c r="A9" s="20" t="str">
        <x:v>内链口径</x:v>
      </x:c>
      <x:c r="B9" s="20" t="str">
        <x:v>已有入口与建议出链分开记录</x:v>
      </x:c>
      <x:c r="C9" s="20" t="str">
        <x:v>新闻正文引导到产品、方案、案例和询价指南</x:v>
      </x:c>
      <x:c r="D9" s="20" t="str">
        <x:v>本轮 R-09 正文内链改造</x:v>
      </x:c>
    </x:row>
    <x:row r="10" ht="50" customHeight="1">
      <x:c r="A10" s="20" t="str">
        <x:v>日期口径</x:v>
      </x:c>
      <x:c r="B10" s="20" t="str">
        <x:v>lastmod 只反映正文/证据的实质修改</x:v>
      </x:c>
      <x:c r="C10" s="20" t="str">
        <x:v>浏览计数、排序和工作流状态不改 lastmod</x:v>
      </x:c>
      <x:c r="D10" s="20" t="str">
        <x:v>本轮 contentUpdatedAt 专用字段</x:v>
      </x:c>
    </x:row>
    <x:row r="11" ht="50" customHeight="1">
      <x:c r="A11" s="20" t="str">
        <x:v>时间</x:v>
      </x:c>
      <x:c r="B11" s="20" t="str">
        <x:v>本表生成日期 2026-08-04（北京时间）</x:v>
      </x:c>
      <x:c r="C11" s="20" t="str">
        <x:v>每次更新记录真实数据日期</x:v>
      </x:c>
      <x:c r="D11" s="20" t="str">
        <x:v>系统时区 Asia/Shanghai</x:v>
      </x:c>
    </x:row>
  </x:sheetData>
  <x:mergeCells>
    <x:mergeCell ref="A1:D1"/>
  </x:mergeCells>
  <x:pageMargins left="0.7" right="0.7" top="0.75" bottom="0.75" header="0.3" footer="0.3"/>
</x:worksheet>
</file>