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b1db3a80ef4d03" /></Relationships>
</file>

<file path=xl/workbook.xml><?xml version="1.0" encoding="utf-8"?>
<x:workbook xmlns:x="http://schemas.openxmlformats.org/spreadsheetml/2006/main">
  <x:sheets>
    <x:sheet xmlns:r="http://schemas.openxmlformats.org/officeDocument/2006/relationships" name="基线总览" sheetId="1" r:id="R7147099cc7274f82"/>
    <x:sheet xmlns:r="http://schemas.openxmlformats.org/officeDocument/2006/relationships" name="复测明细" sheetId="2" r:id="Raf54ca8b32394d10"/>
    <x:sheet xmlns:r="http://schemas.openxmlformats.org/officeDocument/2006/relationships" name="55问题库" sheetId="3" r:id="R7b2482e15a844a5a"/>
    <x:sheet xmlns:r="http://schemas.openxmlformats.org/officeDocument/2006/relationships" name="事实单元" sheetId="4" r:id="Rc8b23862a90e4d44"/>
    <x:sheet xmlns:r="http://schemas.openxmlformats.org/officeDocument/2006/relationships" name="审核字典" sheetId="5" r:id="Re3047aa5bc6e4a6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yyyy-mm-dd"/>
  </x:numFmts>
  <x:fonts count="9">
    <x:font>
      <x:sz val="11"/>
      <x:name val="Carlito"/>
    </x:font>
    <x:font>
      <x:b/>
      <x:sz val="16"/>
      <x:color rgb="FFFFFFFF"/>
      <x:name val="Carlito"/>
    </x:font>
    <x:font>
      <x:b/>
      <x:sz val="11"/>
      <x:color rgb="FFFFFFFF"/>
      <x:name val="Carlito"/>
    </x:font>
    <x:font>
      <x:i/>
      <x:sz val="11"/>
      <x:color rgb="FF18313D"/>
      <x:name val="Carlito"/>
    </x:font>
    <x:font>
      <x:sz val="10"/>
      <x:color rgb="FF18313D"/>
      <x:name val="Carlito"/>
    </x:font>
    <x:font>
      <x:b/>
      <x:sz val="9"/>
      <x:color rgb="FFFFFFFF"/>
      <x:name val="Carlito"/>
    </x:font>
    <x:font>
      <x:sz val="9"/>
      <x:color rgb="FF18313D"/>
      <x:name val="Carlito"/>
    </x:font>
    <x:font>
      <x:b/>
      <x:sz val="10"/>
      <x:color rgb="FFFFFFFF"/>
      <x:name val="Carlito"/>
    </x:font>
    <x:font>
      <x:sz val="10"/>
      <x:name val="Carlito"/>
    </x:font>
  </x:fonts>
  <x:fills count="5">
    <x:fill>
      <x:patternFill patternType="none"/>
    </x:fill>
    <x:fill>
      <x:patternFill patternType="gray125"/>
    </x:fill>
    <x:fill>
      <x:patternFill patternType="solid">
        <x:fgColor rgb="FF12354A"/>
      </x:patternFill>
    </x:fill>
    <x:fill>
      <x:patternFill patternType="solid">
        <x:fgColor rgb="FF1C6E8C"/>
      </x:patternFill>
    </x:fill>
    <x:fill>
      <x:patternFill patternType="solid">
        <x:fgColor rgb="FFFFF1DC"/>
      </x:patternFill>
    </x:fill>
  </x:fills>
  <x:borders count="2">
    <x:border/>
    <x:border>
      <x:left style="thin">
        <x:color rgb="FFD7E0E5"/>
      </x:left>
      <x:right style="thin">
        <x:color rgb="FFD7E0E5"/>
      </x:right>
      <x:top style="thin">
        <x:color rgb="FFD7E0E5"/>
      </x:top>
      <x:bottom style="thin">
        <x:color rgb="FFD7E0E5"/>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4" fillId="0" borderId="1"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0" xfId="0" applyNumberFormat="1" applyFont="1" applyFill="1" applyBorder="1"/>
    <x:xf numFmtId="201" fontId="4" fillId="0" borderId="1" xfId="0" applyNumberFormat="1" applyFont="1" applyFill="1" applyBorder="1" applyAlignment="1">
      <x:alignment vertical="top" wrapText="1"/>
    </x:xf>
    <x:xf numFmtId="0" fontId="5" fillId="3" borderId="1" xfId="0" applyNumberFormat="1" applyFont="1" applyFill="1" applyBorder="1" applyAlignment="1">
      <x:alignment horizontal="center" vertical="center" wrapText="1"/>
    </x:xf>
    <x:xf numFmtId="0" fontId="6" fillId="0" borderId="1" xfId="0" applyNumberFormat="1" applyFont="1" applyFill="1" applyBorder="1" applyAlignment="1">
      <x:alignment vertical="top" wrapText="1"/>
    </x:xf>
    <x:xf numFmtId="201" fontId="6" fillId="0" borderId="1" xfId="0" applyNumberFormat="1" applyFont="1" applyFill="1" applyBorder="1" applyAlignment="1">
      <x:alignment vertical="top" wrapText="1"/>
    </x:xf>
    <x:xf numFmtId="0" fontId="7" fillId="3" borderId="1" xfId="0" applyNumberFormat="1" applyFont="1" applyFill="1" applyBorder="1" applyAlignment="1">
      <x:alignment horizontal="center" vertical="center" wrapText="1"/>
    </x:xf>
    <x:xf numFmtId="0" fontId="7" fillId="2" borderId="0" xfId="0" applyNumberFormat="1" applyFont="1" applyFill="1" applyBorder="1" applyAlignment="1">
      <x:alignment vertical="center" wrapText="1"/>
    </x:xf>
    <x:xf numFmtId="0" fontId="8" fillId="0" borderId="0" xfId="0" applyNumberFormat="1" applyFont="1" applyFill="1" applyBorder="1"/>
  </x:cellXfs>
  <x:cellStyles count="1">
    <x:cellStyle name="Normal" xfId="0"/>
  </x:cellStyles>
  <x:dxfs count="4">
    <x:dxf>
      <x:font>
        <x:b/>
        <x:color rgb="FFC44536"/>
      </x:font>
      <x:fill>
        <x:patternFill patternType="solid">
          <x:bgColor rgb="FFFDE2E0"/>
        </x:patternFill>
      </x:fill>
    </x:dxf>
    <x:dxf>
      <x:font>
        <x:b/>
        <x:color rgb="FFC44536"/>
      </x:font>
      <x:fill>
        <x:patternFill patternType="solid">
          <x:bgColor rgb="FFFDE2E0"/>
        </x:patternFill>
      </x:fill>
    </x:dxf>
    <x:dxf>
      <x:font>
        <x:b/>
        <x:color rgb="FF2A9D8F"/>
      </x:font>
      <x:fill>
        <x:patternFill patternType="solid">
          <x:bgColor rgb="FFE8F5F2"/>
        </x:patternFill>
      </x:fill>
    </x:dxf>
    <x:dxf>
      <x:font>
        <x:b/>
        <x:color rgb="FF8A5A00"/>
      </x:font>
      <x:fill>
        <x:patternFill patternType="solid">
          <x:bgColor rgb="FFFFF1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6dccf151f54f76" /><Relationship Type="http://schemas.openxmlformats.org/officeDocument/2006/relationships/theme" Target="/xl/theme/theme1.xml" Id="R4c10f41ff9344fcf" /><Relationship Type="http://schemas.openxmlformats.org/officeDocument/2006/relationships/sharedStrings" Target="/xl/sharedStrings.xml" Id="Ra44ef700fcf44b31" /><Relationship Type="http://schemas.openxmlformats.org/officeDocument/2006/relationships/worksheet" Target="/xl/worksheets/sheet1.xml" Id="R7147099cc7274f82" /><Relationship Type="http://schemas.openxmlformats.org/officeDocument/2006/relationships/worksheet" Target="/xl/worksheets/sheet2.xml" Id="Raf54ca8b32394d10" /><Relationship Type="http://schemas.openxmlformats.org/officeDocument/2006/relationships/worksheet" Target="/xl/worksheets/sheet3.xml" Id="R7b2482e15a844a5a" /><Relationship Type="http://schemas.openxmlformats.org/officeDocument/2006/relationships/worksheet" Target="/xl/worksheets/sheet4.xml" Id="Rc8b23862a90e4d44" /><Relationship Type="http://schemas.openxmlformats.org/officeDocument/2006/relationships/worksheet" Target="/xl/worksheets/sheet5.xml" Id="Re3047aa5bc6e4a6d" /></Relationships>
</file>

<file path=xl/tables/table1.xml><?xml version="1.0" encoding="utf-8"?>
<x:table xmlns:x="http://schemas.openxmlformats.org/spreadsheetml/2006/main" id="1" name="GeoRetestTable" displayName="GeoRetestTable" ref="A4:V278" headerRowCount="1" totalsRowCount="0" totalsRowShown="0">
  <x:tableColumns count="22">
    <x:tableColumn id="1" name="轮次"/>
    <x:tableColumn id="2" name="测试日期"/>
    <x:tableColumn id="3" name="Query编号"/>
    <x:tableColumn id="4" name="Query原文"/>
    <x:tableColumn id="5" name="品牌属性"/>
    <x:tableColumn id="6" name="思考程度"/>
    <x:tableColumn id="7" name="平台"/>
    <x:tableColumn id="8" name="苏能是否出现"/>
    <x:tableColumn id="9" name="官网引用"/>
    <x:tableColumn id="10" name="评分0-4"/>
    <x:tableColumn id="11" name="引用源1"/>
    <x:tableColumn id="12" name="引用源2"/>
    <x:tableColumn id="13" name="引用源3"/>
    <x:tableColumn id="14" name="引用源4"/>
    <x:tableColumn id="15" name="引用源5"/>
    <x:tableColumn id="16" name="引用源6"/>
    <x:tableColumn id="17" name="引用源7"/>
    <x:tableColumn id="18" name="引用源8"/>
    <x:tableColumn id="19" name="引用源9"/>
    <x:tableColumn id="20" name="引用源10"/>
    <x:tableColumn id="21" name="原始文件"/>
    <x:tableColumn id="22" name="备注"/>
  </x:tableColumns>
  <x:tableStyleInfo name="TableStyleMedium2" showFirstColumn="0" showLastColumn="0" showRowStripes="1" showColumnStripes="0"/>
</x:table>
</file>

<file path=xl/tables/table2.xml><?xml version="1.0" encoding="utf-8"?>
<x:table xmlns:x="http://schemas.openxmlformats.org/spreadsheetml/2006/main" id="2" name="GeoQuestionTable" displayName="GeoQuestionTable" ref="A4:K59" headerRowCount="1" totalsRowCount="0" totalsRowShown="0">
  <x:tableColumns count="11">
    <x:tableColumn id="1" name="序号"/>
    <x:tableColumn id="2" name="固定问法"/>
    <x:tableColumn id="3" name="品牌属性"/>
    <x:tableColumn id="4" name="主题集群"/>
    <x:tableColumn id="5" name="价值等级"/>
    <x:tableColumn id="6" name="双周哨兵"/>
    <x:tableColumn id="7" name="频率"/>
    <x:tableColumn id="8" name="负责人"/>
    <x:tableColumn id="9" name="下次复测"/>
    <x:tableColumn id="10" name="当前状态"/>
    <x:tableColumn id="11" name="备注"/>
  </x:tableColumns>
  <x:tableStyleInfo name="TableStyleMedium4" showFirstColumn="0" showLastColumn="0" showRowStripes="1" showColumnStripes="0"/>
</x:table>
</file>

<file path=xl/tables/table3.xml><?xml version="1.0" encoding="utf-8"?>
<x:table xmlns:x="http://schemas.openxmlformats.org/spreadsheetml/2006/main" id="3" name="GeoFactUnitTable" displayName="GeoFactUnitTable" ref="A4:X22" headerRowCount="1" totalsRowCount="0" totalsRowShown="0">
  <x:tableColumns count="24">
    <x:tableColumn id="1" name="事实编号"/>
    <x:tableColumn id="2" name="优先级"/>
    <x:tableColumn id="3" name="案例标题"/>
    <x:tableColumn id="4" name="客户脱敏名"/>
    <x:tableColumn id="5" name="名称公开等级"/>
    <x:tableColumn id="6" name="行业"/>
    <x:tableColumn id="7" name="炉型/产线"/>
    <x:tableColumn id="8" name="项目类型"/>
    <x:tableColumn id="9" name="数字与参数"/>
    <x:tableColumn id="10" name="项目难点/适用条件"/>
    <x:tableColumn id="11" name="苏能提供内容"/>
    <x:tableColumn id="12" name="可公开范围表达"/>
    <x:tableColumn id="13" name="不适用/禁发内容"/>
    <x:tableColumn id="14" name="原始证据"/>
    <x:tableColumn id="15" name="官网案例"/>
    <x:tableColumn id="16" name="GEO外发"/>
    <x:tableColumn id="17" name="建议承载"/>
    <x:tableColumn id="18" name="技术准确"/>
    <x:tableColumn id="19" name="公司允许"/>
    <x:tableColumn id="20" name="客户允许"/>
    <x:tableColumn id="21" name="发布状态"/>
    <x:tableColumn id="22" name="技术审核人"/>
    <x:tableColumn id="23" name="审核日期"/>
    <x:tableColumn id="24" name="备注"/>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9dd745ca1a420e" /></Relationships>
</file>

<file path=xl/worksheets/_rels/sheet3.xml.rels>&#65279;<?xml version="1.0" encoding="utf-8"?><Relationships xmlns="http://schemas.openxmlformats.org/package/2006/relationships"><Relationship Type="http://schemas.openxmlformats.org/officeDocument/2006/relationships/table" Target="/xl/tables/table2.xml" Id="Re0118f8429604cce" /></Relationships>
</file>

<file path=xl/worksheets/_rels/sheet4.xml.rels>&#65279;<?xml version="1.0" encoding="utf-8"?><Relationships xmlns="http://schemas.openxmlformats.org/package/2006/relationships"><Relationship Type="http://schemas.openxmlformats.org/officeDocument/2006/relationships/table" Target="/xl/tables/table3.xml" Id="R13ddd7e715194bd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44" hidden="0" customWidth="1"/>
    <x:col min="5" max="5" width="18" hidden="0" customWidth="1"/>
    <x:col min="6" max="6" width="17" hidden="0" customWidth="1"/>
    <x:col min="7" max="7" width="17" hidden="0" customWidth="1"/>
    <x:col min="8" max="8" width="17" hidden="0" customWidth="1"/>
  </x:cols>
  <x:sheetData>
    <x:row r="1" ht="54" customHeight="1">
      <x:c r="A1" s="4" t="str">
        <x:v>苏能官网 GEO 基线与执行仪表盘
固定口径：豆包 / DeepSeek / 元宝为完整核心面板；通义、文心只作完整性观察。基线日期 2026-07-29。</x:v>
      </x:c>
      <x:c r="B1" s="4" t="str">
        <x:v>苏能官网 GEO 基线与执行仪表盘
固定口径：豆包 / DeepSeek / 元宝为完整核心面板；通义、文心只作完整性观察。基线日期 2026-07-29。</x:v>
      </x:c>
      <x:c r="C1" s="4" t="str">
        <x:v>苏能官网 GEO 基线与执行仪表盘
固定口径：豆包 / DeepSeek / 元宝为完整核心面板；通义、文心只作完整性观察。基线日期 2026-07-29。</x:v>
      </x:c>
      <x:c r="D1" s="4" t="str">
        <x:v>苏能官网 GEO 基线与执行仪表盘
固定口径：豆包 / DeepSeek / 元宝为完整核心面板；通义、文心只作完整性观察。基线日期 2026-07-29。</x:v>
      </x:c>
      <x:c r="E1" s="4" t="str">
        <x:v>苏能官网 GEO 基线与执行仪表盘
固定口径：豆包 / DeepSeek / 元宝为完整核心面板；通义、文心只作完整性观察。基线日期 2026-07-29。</x:v>
      </x:c>
      <x:c r="F1" s="4" t="str">
        <x:v>苏能官网 GEO 基线与执行仪表盘
固定口径：豆包 / DeepSeek / 元宝为完整核心面板；通义、文心只作完整性观察。基线日期 2026-07-29。</x:v>
      </x:c>
      <x:c r="G1" s="4" t="str">
        <x:v>苏能官网 GEO 基线与执行仪表盘
固定口径：豆包 / DeepSeek / 元宝为完整核心面板；通义、文心只作完整性观察。基线日期 2026-07-29。</x:v>
      </x:c>
      <x:c r="H1" s="4" t="str">
        <x:v>苏能官网 GEO 基线与执行仪表盘
固定口径：豆包 / DeepSeek / 元宝为完整核心面板；通义、文心只作完整性观察。基线日期 2026-07-29。</x:v>
      </x:c>
    </x:row>
    <x:row r="2" ht="54" customHeight="1">
      <x:c r="A2" s="4" t="str">
        <x:v>苏能官网 GEO 基线与执行仪表盘
固定口径：豆包 / DeepSeek / 元宝为完整核心面板；通义、文心只作完整性观察。基线日期 2026-07-29。</x:v>
      </x:c>
      <x:c r="B2" s="4" t="str">
        <x:v>苏能官网 GEO 基线与执行仪表盘
固定口径：豆包 / DeepSeek / 元宝为完整核心面板；通义、文心只作完整性观察。基线日期 2026-07-29。</x:v>
      </x:c>
      <x:c r="C2" s="4" t="str">
        <x:v>苏能官网 GEO 基线与执行仪表盘
固定口径：豆包 / DeepSeek / 元宝为完整核心面板；通义、文心只作完整性观察。基线日期 2026-07-29。</x:v>
      </x:c>
      <x:c r="D2" s="4" t="str">
        <x:v>苏能官网 GEO 基线与执行仪表盘
固定口径：豆包 / DeepSeek / 元宝为完整核心面板；通义、文心只作完整性观察。基线日期 2026-07-29。</x:v>
      </x:c>
      <x:c r="E2" s="4" t="str">
        <x:v>苏能官网 GEO 基线与执行仪表盘
固定口径：豆包 / DeepSeek / 元宝为完整核心面板；通义、文心只作完整性观察。基线日期 2026-07-29。</x:v>
      </x:c>
      <x:c r="F2" s="4" t="str">
        <x:v>苏能官网 GEO 基线与执行仪表盘
固定口径：豆包 / DeepSeek / 元宝为完整核心面板；通义、文心只作完整性观察。基线日期 2026-07-29。</x:v>
      </x:c>
      <x:c r="G2" s="4" t="str">
        <x:v>苏能官网 GEO 基线与执行仪表盘
固定口径：豆包 / DeepSeek / 元宝为完整核心面板；通义、文心只作完整性观察。基线日期 2026-07-29。</x:v>
      </x:c>
      <x:c r="H2" s="4" t="str">
        <x:v>苏能官网 GEO 基线与执行仪表盘
固定口径：豆包 / DeepSeek / 元宝为完整核心面板；通义、文心只作完整性观察。基线日期 2026-07-29。</x:v>
      </x:c>
    </x:row>
    <x:row r="3">
      <x:c r="A3" s="22"/>
      <x:c r="B3" s="22"/>
      <x:c r="C3" s="22"/>
      <x:c r="D3" s="22"/>
      <x:c r="E3" s="22"/>
      <x:c r="F3" s="22"/>
      <x:c r="G3" s="22"/>
      <x:c r="H3" s="22"/>
    </x:row>
    <x:row r="4" ht="30" customHeight="1">
      <x:c r="A4" s="10" t="str">
        <x:v>核心指标</x:v>
      </x:c>
      <x:c r="B4" s="10" t="str">
        <x:v>当前值</x:v>
      </x:c>
      <x:c r="C4" s="10" t="str">
        <x:v>目标/口径</x:v>
      </x:c>
      <x:c r="D4" s="10" t="str">
        <x:v>解释</x:v>
      </x:c>
      <x:c r="E4" s="10" t="str">
        <x:v>平台</x:v>
      </x:c>
      <x:c r="F4" s="10" t="str">
        <x:v>记录数</x:v>
      </x:c>
      <x:c r="G4" s="10" t="str">
        <x:v>已完成</x:v>
      </x:c>
      <x:c r="H4" s="10" t="str">
        <x:v>完整性</x:v>
      </x:c>
    </x:row>
    <x:row r="5">
      <x:c r="A5" s="19" t="str">
        <x:v>核心平台完成回答</x:v>
      </x:c>
      <x:c r="B5" s="19" t="n">
        <x:f>COUNTIFS('复测明细'!$G$5:$G$278,"豆包",'复测明细'!$H$5:$H$278,"是")+COUNTIFS('复测明细'!$G$5:$G$278,"豆包",'复测明细'!$H$5:$H$278,"否")+COUNTIFS('复测明细'!$G$5:$G$278,"DeepSeek",'复测明细'!$H$5:$H$278,"是")+COUNTIFS('复测明细'!$G$5:$G$278,"DeepSeek",'复测明细'!$H$5:$H$278,"否")+COUNTIFS('复测明细'!$G$5:$G$278,"元宝",'复测明细'!$H$5:$H$278,"是")+COUNTIFS('复测明细'!$G$5:$G$278,"元宝",'复测明细'!$H$5:$H$278,"否")</x:f>
        <x:v>165</x:v>
      </x:c>
      <x:c r="C5" s="19" t="str">
        <x:v>165 条完整回答</x:v>
      </x:c>
      <x:c r="D5" s="19" t="str">
        <x:v>三个核心平台均完成 55 问；避免把缺失平台计入分母。</x:v>
      </x:c>
      <x:c r="E5" s="19" t="str">
        <x:v>豆包</x:v>
      </x:c>
      <x:c r="F5" s="19" t="n">
        <x:f>COUNTIF('复测明细'!$G$5:$G$278,E5)</x:f>
        <x:v>55</x:v>
      </x:c>
      <x:c r="G5" s="19" t="n">
        <x:f>COUNTIFS('复测明细'!$G$5:$G$278,E5,'复测明细'!$H$5:$H$278,"是")+COUNTIFS('复测明细'!$G$5:$G$278,E5,'复测明细'!$H$5:$H$278,"否")</x:f>
        <x:v>55</x:v>
      </x:c>
      <x:c r="H5" s="19" t="str">
        <x:f>IF(F5=0,"无数据",IF(G5=F5,"完整","不完整"))</x:f>
        <x:v>完整</x:v>
      </x:c>
    </x:row>
    <x:row r="6">
      <x:c r="A6" s="19" t="str">
        <x:v>品牌词提及率</x:v>
      </x:c>
      <x:c r="B6" s="20" t="n">
        <x:f>IFERROR((COUNTIFS('复测明细'!$G$5:$G$278,"豆包",'复测明细'!$E$5:$E$278,"品牌词",'复测明细'!$H$5:$H$278,"是")+COUNTIFS('复测明细'!$G$5:$G$278,"DeepSeek",'复测明细'!$E$5:$E$278,"品牌词",'复测明细'!$H$5:$H$278,"是")+COUNTIFS('复测明细'!$G$5:$G$278,"元宝",'复测明细'!$E$5:$E$278,"品牌词",'复测明细'!$H$5:$H$278,"是"))/(COUNTIFS('复测明细'!$G$5:$G$278,"豆包",'复测明细'!$E$5:$E$278,"品牌词",'复测明细'!$H$5:$H$278,"是")+COUNTIFS('复测明细'!$G$5:$G$278,"豆包",'复测明细'!$E$5:$E$278,"品牌词",'复测明细'!$H$5:$H$278,"否")+COUNTIFS('复测明细'!$G$5:$G$278,"DeepSeek",'复测明细'!$E$5:$E$278,"品牌词",'复测明细'!$H$5:$H$278,"是")+COUNTIFS('复测明细'!$G$5:$G$278,"DeepSeek",'复测明细'!$E$5:$E$278,"品牌词",'复测明细'!$H$5:$H$278,"否")+COUNTIFS('复测明细'!$G$5:$G$278,"元宝",'复测明细'!$E$5:$E$278,"品牌词",'复测明细'!$H$5:$H$278,"是")+COUNTIFS('复测明细'!$G$5:$G$278,"元宝",'复测明细'!$E$5:$E$278,"品牌词",'复测明细'!$H$5:$H$278,"否")),0)</x:f>
        <x:v>1</x:v>
      </x:c>
      <x:c r="C6" s="19" t="str">
        <x:v>24 / 24</x:v>
      </x:c>
      <x:c r="D6" s="19" t="str">
        <x:v>B6/C6；品牌词是否能稳定识别企业。</x:v>
      </x:c>
      <x:c r="E6" s="19" t="str">
        <x:v>DeepSeek</x:v>
      </x:c>
      <x:c r="F6" s="19" t="n">
        <x:f>COUNTIF('复测明细'!$G$5:$G$278,E6)</x:f>
        <x:v>55</x:v>
      </x:c>
      <x:c r="G6" s="19" t="n">
        <x:f>COUNTIFS('复测明细'!$G$5:$G$278,E6,'复测明细'!$H$5:$H$278,"是")+COUNTIFS('复测明细'!$G$5:$G$278,E6,'复测明细'!$H$5:$H$278,"否")</x:f>
        <x:v>55</x:v>
      </x:c>
      <x:c r="H6" s="19" t="str">
        <x:f>IF(F6=0,"无数据",IF(G6=F6,"完整","不完整"))</x:f>
        <x:v>完整</x:v>
      </x:c>
    </x:row>
    <x:row r="7">
      <x:c r="A7" s="19" t="str">
        <x:v>非品牌词提及率</x:v>
      </x:c>
      <x:c r="B7" s="20" t="n">
        <x:f>IFERROR((COUNTIFS('复测明细'!$G$5:$G$278,"豆包",'复测明细'!$E$5:$E$278,"非品牌词",'复测明细'!$H$5:$H$278,"是")+COUNTIFS('复测明细'!$G$5:$G$278,"DeepSeek",'复测明细'!$E$5:$E$278,"非品牌词",'复测明细'!$H$5:$H$278,"是")+COUNTIFS('复测明细'!$G$5:$G$278,"元宝",'复测明细'!$E$5:$E$278,"非品牌词",'复测明细'!$H$5:$H$278,"是"))/(COUNTIFS('复测明细'!$G$5:$G$278,"豆包",'复测明细'!$E$5:$E$278,"非品牌词",'复测明细'!$H$5:$H$278,"是")+COUNTIFS('复测明细'!$G$5:$G$278,"豆包",'复测明细'!$E$5:$E$278,"非品牌词",'复测明细'!$H$5:$H$278,"否")+COUNTIFS('复测明细'!$G$5:$G$278,"DeepSeek",'复测明细'!$E$5:$E$278,"非品牌词",'复测明细'!$H$5:$H$278,"是")+COUNTIFS('复测明细'!$G$5:$G$278,"DeepSeek",'复测明细'!$E$5:$E$278,"非品牌词",'复测明细'!$H$5:$H$278,"否")+COUNTIFS('复测明细'!$G$5:$G$278,"元宝",'复测明细'!$E$5:$E$278,"非品牌词",'复测明细'!$H$5:$H$278,"是")+COUNTIFS('复测明细'!$G$5:$G$278,"元宝",'复测明细'!$E$5:$E$278,"非品牌词",'复测明细'!$H$5:$H$278,"否")),0)</x:f>
        <x:v>0.02127659574468085</x:v>
      </x:c>
      <x:c r="C7" s="19" t="str">
        <x:v>3 / 141</x:v>
      </x:c>
      <x:c r="D7" s="19" t="str">
        <x:v>B7/C7；GEO 北极星指标，当前基线应为 3/141。</x:v>
      </x:c>
      <x:c r="E7" s="19" t="str">
        <x:v>元宝</x:v>
      </x:c>
      <x:c r="F7" s="19" t="n">
        <x:f>COUNTIF('复测明细'!$G$5:$G$278,E7)</x:f>
        <x:v>55</x:v>
      </x:c>
      <x:c r="G7" s="19" t="n">
        <x:f>COUNTIFS('复测明细'!$G$5:$G$278,E7,'复测明细'!$H$5:$H$278,"是")+COUNTIFS('复测明细'!$G$5:$G$278,E7,'复测明细'!$H$5:$H$278,"否")</x:f>
        <x:v>55</x:v>
      </x:c>
      <x:c r="H7" s="19" t="str">
        <x:f>IF(F7=0,"无数据",IF(G7=F7,"完整","不完整"))</x:f>
        <x:v>完整</x:v>
      </x:c>
    </x:row>
    <x:row r="8">
      <x:c r="A8" s="19" t="str">
        <x:v>官网引用覆盖率</x:v>
      </x:c>
      <x:c r="B8" s="20" t="n">
        <x:f>IFERROR((COUNTIFS('复测明细'!$G$5:$G$278,"豆包",'复测明细'!$I$5:$I$278,"是")+COUNTIFS('复测明细'!$G$5:$G$278,"DeepSeek",'复测明细'!$I$5:$I$278,"是")+COUNTIFS('复测明细'!$G$5:$G$278,"元宝",'复测明细'!$I$5:$I$278,"是"))/(COUNTIFS('复测明细'!$G$5:$G$278,"豆包",'复测明细'!$H$5:$H$278,"是")+COUNTIFS('复测明细'!$G$5:$G$278,"豆包",'复测明细'!$H$5:$H$278,"否")+COUNTIFS('复测明细'!$G$5:$G$278,"DeepSeek",'复测明细'!$H$5:$H$278,"是")+COUNTIFS('复测明细'!$G$5:$G$278,"DeepSeek",'复测明细'!$H$5:$H$278,"否")+COUNTIFS('复测明细'!$G$5:$G$278,"元宝",'复测明细'!$H$5:$H$278,"是")+COUNTIFS('复测明细'!$G$5:$G$278,"元宝",'复测明细'!$H$5:$H$278,"否")),0)</x:f>
        <x:v>0.10909090909090909</x:v>
      </x:c>
      <x:c r="C8" s="19" t="str">
        <x:v>18 / 165（52 个链接位）</x:v>
      </x:c>
      <x:c r="D8" s="19" t="str">
        <x:v>B8/C8；18 条答案引用官网，共出现 52 个官网链接位。</x:v>
      </x:c>
      <x:c r="E8" s="19" t="str">
        <x:v>通义</x:v>
      </x:c>
      <x:c r="F8" s="19" t="n">
        <x:f>COUNTIF('复测明细'!$G$5:$G$278,E8)</x:f>
        <x:v>55</x:v>
      </x:c>
      <x:c r="G8" s="19" t="n">
        <x:f>COUNTIFS('复测明细'!$G$5:$G$278,E8,'复测明细'!$H$5:$H$278,"是")+COUNTIFS('复测明细'!$G$5:$G$278,E8,'复测明细'!$H$5:$H$278,"否")</x:f>
        <x:v>0</x:v>
      </x:c>
      <x:c r="H8" s="19" t="str">
        <x:f>IF(F8=0,"无数据",IF(G8=F8,"完整","不完整"))</x:f>
        <x:v>不完整</x:v>
      </x:c>
    </x:row>
    <x:row r="9">
      <x:c r="A9" s="19" t="str">
        <x:v>55 问总数</x:v>
      </x:c>
      <x:c r="B9" s="19" t="n">
        <x:f>COUNTA('55问题库'!$B$5:$B$59)</x:f>
        <x:v>55</x:v>
      </x:c>
      <x:c r="C9" s="19" t="str">
        <x:v>55</x:v>
      </x:c>
      <x:c r="D9" s="19" t="str">
        <x:v>固定问题库，问法、平台、会话方式不得随意变化。</x:v>
      </x:c>
      <x:c r="E9" s="19" t="str">
        <x:v>文心</x:v>
      </x:c>
      <x:c r="F9" s="19" t="n">
        <x:f>COUNTIF('复测明细'!$G$5:$G$278,E9)</x:f>
        <x:v>54</x:v>
      </x:c>
      <x:c r="G9" s="19" t="n">
        <x:f>COUNTIFS('复测明细'!$G$5:$G$278,E9,'复测明细'!$H$5:$H$278,"是")+COUNTIFS('复测明细'!$G$5:$G$278,E9,'复测明细'!$H$5:$H$278,"否")</x:f>
        <x:v>4</x:v>
      </x:c>
      <x:c r="H9" s="19" t="str">
        <x:f>IF(F9=0,"无数据",IF(G9=F9,"完整","不完整"))</x:f>
        <x:v>不完整</x:v>
      </x:c>
    </x:row>
    <x:row r="10">
      <x:c r="A10" s="19" t="str">
        <x:v>双周哨兵问题</x:v>
      </x:c>
      <x:c r="B10" s="19" t="n">
        <x:f>COUNTIF('55问题库'!$F$5:$F$59,"是")</x:f>
        <x:v>12</x:v>
      </x:c>
      <x:c r="C10" s="19" t="str">
        <x:v>12</x:v>
      </x:c>
      <x:c r="D10" s="19" t="str">
        <x:v>两周只看方向并修技术问题，不据此淘汰内容。</x:v>
      </x:c>
      <x:c r="E10" s="21"/>
      <x:c r="F10" s="21"/>
      <x:c r="G10" s="21"/>
      <x:c r="H10" s="21"/>
    </x:row>
    <x:row r="11" ht="30" customHeight="1">
      <x:c r="A11" s="19" t="str">
        <x:v>待审核事实资产</x:v>
      </x:c>
      <x:c r="B11" s="19" t="n">
        <x:f>COUNTIFS('事实单元'!$A$5:$A$22,"&lt;&gt;",'事实单元'!$U$5:$U$22,"&lt;&gt;精确值可发布")</x:f>
        <x:v>18</x:v>
      </x:c>
      <x:c r="C11" s="19" t="str">
        <x:v>三门全过才可发布精确值</x:v>
      </x:c>
      <x:c r="D11" s="19" t="str">
        <x:v>技术、公司、客户三道门均须有记录。</x:v>
      </x:c>
      <x:c r="E11" s="10" t="str">
        <x:v>复测决策门</x:v>
      </x:c>
      <x:c r="F11" s="10" t="str">
        <x:v>D+30</x:v>
      </x:c>
      <x:c r="G11" s="10" t="str">
        <x:v>D+60</x:v>
      </x:c>
      <x:c r="H11" s="10" t="str">
        <x:v>D+90</x:v>
      </x:c>
    </x:row>
    <x:row r="12">
      <x:c r="A12" s="21"/>
      <x:c r="B12" s="21"/>
      <x:c r="C12" s="21"/>
      <x:c r="D12" s="21"/>
      <x:c r="E12" s="19" t="str">
        <x:v>检查重点</x:v>
      </x:c>
      <x:c r="F12" s="19" t="str">
        <x:v>抓取 / 索引 / 初次引用</x:v>
      </x:c>
      <x:c r="G12" s="19" t="str">
        <x:v>标题 / 内链 / 证据表达</x:v>
      </x:c>
      <x:c r="H12" s="19" t="str">
        <x:v>保留 / 合并 / 重写 / 下线</x:v>
      </x:c>
    </x:row>
    <x:row r="13">
      <x:c r="A13" s="21"/>
      <x:c r="B13" s="21"/>
      <x:c r="C13" s="21"/>
      <x:c r="D13" s="21"/>
      <x:c r="E13" s="19" t="str">
        <x:v>允许动作</x:v>
      </x:c>
      <x:c r="F13" s="19" t="str">
        <x:v>修技术问题</x:v>
      </x:c>
      <x:c r="G13" s="19" t="str">
        <x:v>调表达与结构</x:v>
      </x:c>
      <x:c r="H13" s="19" t="str">
        <x:v>基于完整基准做内容决策</x:v>
      </x:c>
    </x:row>
    <x:row r="14">
      <x:c r="A14" s="21"/>
      <x:c r="B14" s="21"/>
      <x:c r="C14" s="21"/>
      <x:c r="D14" s="21"/>
      <x:c r="E14" s="19" t="str">
        <x:v>禁止动作</x:v>
      </x:c>
      <x:c r="F14" s="19" t="str">
        <x:v>因未引用就删页</x:v>
      </x:c>
      <x:c r="G14" s="19" t="str">
        <x:v>改问题或分母</x:v>
      </x:c>
      <x:c r="H14" s="19" t="str">
        <x:v>脱离事实库编数据</x:v>
      </x:c>
    </x:row>
    <x:row r="15">
      <x:c r="A15" s="22"/>
      <x:c r="B15" s="22"/>
      <x:c r="C15" s="22"/>
      <x:c r="D15" s="22"/>
      <x:c r="E15" s="22"/>
      <x:c r="F15" s="22"/>
      <x:c r="G15" s="22"/>
      <x:c r="H15" s="22"/>
    </x:row>
    <x:row r="16" ht="44" customHeight="1">
      <x:c r="A16" s="13" t="str">
        <x:v>评分口径：0=未出现；1=提及品牌但无可核实引用；2=提及并引用独立第三方；3=提及并引用官网；4=引用官网具体可核实事实且正确。当前源数据只能可靠判定 0/1/3，禁止自动臆测 2/4。</x:v>
      </x:c>
      <x:c r="B16" s="13" t="str">
        <x:v>评分口径：0=未出现；1=提及品牌但无可核实引用；2=提及并引用独立第三方；3=提及并引用官网；4=引用官网具体可核实事实且正确。当前源数据只能可靠判定 0/1/3，禁止自动臆测 2/4。</x:v>
      </x:c>
      <x:c r="C16" s="13" t="str">
        <x:v>评分口径：0=未出现；1=提及品牌但无可核实引用；2=提及并引用独立第三方；3=提及并引用官网；4=引用官网具体可核实事实且正确。当前源数据只能可靠判定 0/1/3，禁止自动臆测 2/4。</x:v>
      </x:c>
      <x:c r="D16" s="13" t="str">
        <x:v>评分口径：0=未出现；1=提及品牌但无可核实引用；2=提及并引用独立第三方；3=提及并引用官网；4=引用官网具体可核实事实且正确。当前源数据只能可靠判定 0/1/3，禁止自动臆测 2/4。</x:v>
      </x:c>
      <x:c r="E16" s="13" t="str">
        <x:v>评分口径：0=未出现；1=提及品牌但无可核实引用；2=提及并引用独立第三方；3=提及并引用官网；4=引用官网具体可核实事实且正确。当前源数据只能可靠判定 0/1/3，禁止自动臆测 2/4。</x:v>
      </x:c>
      <x:c r="F16" s="13" t="str">
        <x:v>评分口径：0=未出现；1=提及品牌但无可核实引用；2=提及并引用独立第三方；3=提及并引用官网；4=引用官网具体可核实事实且正确。当前源数据只能可靠判定 0/1/3，禁止自动臆测 2/4。</x:v>
      </x:c>
      <x:c r="G16" s="13" t="str">
        <x:v>评分口径：0=未出现；1=提及品牌但无可核实引用；2=提及并引用独立第三方；3=提及并引用官网；4=引用官网具体可核实事实且正确。当前源数据只能可靠判定 0/1/3，禁止自动臆测 2/4。</x:v>
      </x:c>
      <x:c r="H16" s="13" t="str">
        <x:v>评分口径：0=未出现；1=提及品牌但无可核实引用；2=提及并引用独立第三方；3=提及并引用官网；4=引用官网具体可核实事实且正确。当前源数据只能可靠判定 0/1/3，禁止自动臆测 2/4。</x:v>
      </x:c>
    </x:row>
  </x:sheetData>
  <x:mergeCells>
    <x:mergeCell ref="A1:H2"/>
    <x:mergeCell ref="A16:H16"/>
  </x:mergeCells>
  <x:conditionalFormatting sqref="B7:B7">
    <x:cfRule type="cellIs" dxfId="0" priority="1" operator="lessThan">
      <x:formula>0.1</x:formula>
    </x:cfRule>
  </x:conditionalFormatting>
  <x:conditionalFormatting sqref="H5:H9">
    <x:cfRule type="containsText" dxfId="1" priority="2" operator="containsText" text="不完整"/>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0" hidden="0" customWidth="1"/>
    <x:col min="4" max="4" width="3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22" hidden="0" customWidth="1"/>
    <x:col min="22" max="22" width="22" hidden="0" customWidth="1"/>
  </x:cols>
  <x:sheetData>
    <x:row r="1" ht="54" customHeight="1">
      <x:c r="A1" s="4" t="str">
        <x:v>GEO 复测明细（清洗版）
保留原 274 条记录；清除 169 个错误 HYPERLINK 公式；只用纯文本记录“是/否”。</x:v>
      </x:c>
      <x:c r="B1" s="4" t="str">
        <x:v>GEO 复测明细（清洗版）
保留原 274 条记录；清除 169 个错误 HYPERLINK 公式；只用纯文本记录“是/否”。</x:v>
      </x:c>
      <x:c r="C1" s="4" t="str">
        <x:v>GEO 复测明细（清洗版）
保留原 274 条记录；清除 169 个错误 HYPERLINK 公式；只用纯文本记录“是/否”。</x:v>
      </x:c>
      <x:c r="D1" s="4" t="str">
        <x:v>GEO 复测明细（清洗版）
保留原 274 条记录；清除 169 个错误 HYPERLINK 公式；只用纯文本记录“是/否”。</x:v>
      </x:c>
      <x:c r="E1" s="4" t="str">
        <x:v>GEO 复测明细（清洗版）
保留原 274 条记录；清除 169 个错误 HYPERLINK 公式；只用纯文本记录“是/否”。</x:v>
      </x:c>
      <x:c r="F1" s="4" t="str">
        <x:v>GEO 复测明细（清洗版）
保留原 274 条记录；清除 169 个错误 HYPERLINK 公式；只用纯文本记录“是/否”。</x:v>
      </x:c>
      <x:c r="G1" s="4" t="str">
        <x:v>GEO 复测明细（清洗版）
保留原 274 条记录；清除 169 个错误 HYPERLINK 公式；只用纯文本记录“是/否”。</x:v>
      </x:c>
      <x:c r="H1" s="4" t="str">
        <x:v>GEO 复测明细（清洗版）
保留原 274 条记录；清除 169 个错误 HYPERLINK 公式；只用纯文本记录“是/否”。</x:v>
      </x:c>
      <x:c r="I1" s="4" t="str">
        <x:v>GEO 复测明细（清洗版）
保留原 274 条记录；清除 169 个错误 HYPERLINK 公式；只用纯文本记录“是/否”。</x:v>
      </x:c>
      <x:c r="J1" s="4" t="str">
        <x:v>GEO 复测明细（清洗版）
保留原 274 条记录；清除 169 个错误 HYPERLINK 公式；只用纯文本记录“是/否”。</x:v>
      </x:c>
    </x:row>
    <x:row r="2" ht="54" customHeight="1">
      <x:c r="A2" s="4" t="str">
        <x:v>GEO 复测明细（清洗版）
保留原 274 条记录；清除 169 个错误 HYPERLINK 公式；只用纯文本记录“是/否”。</x:v>
      </x:c>
      <x:c r="B2" s="4" t="str">
        <x:v>GEO 复测明细（清洗版）
保留原 274 条记录；清除 169 个错误 HYPERLINK 公式；只用纯文本记录“是/否”。</x:v>
      </x:c>
      <x:c r="C2" s="4" t="str">
        <x:v>GEO 复测明细（清洗版）
保留原 274 条记录；清除 169 个错误 HYPERLINK 公式；只用纯文本记录“是/否”。</x:v>
      </x:c>
      <x:c r="D2" s="4" t="str">
        <x:v>GEO 复测明细（清洗版）
保留原 274 条记录；清除 169 个错误 HYPERLINK 公式；只用纯文本记录“是/否”。</x:v>
      </x:c>
      <x:c r="E2" s="4" t="str">
        <x:v>GEO 复测明细（清洗版）
保留原 274 条记录；清除 169 个错误 HYPERLINK 公式；只用纯文本记录“是/否”。</x:v>
      </x:c>
      <x:c r="F2" s="4" t="str">
        <x:v>GEO 复测明细（清洗版）
保留原 274 条记录；清除 169 个错误 HYPERLINK 公式；只用纯文本记录“是/否”。</x:v>
      </x:c>
      <x:c r="G2" s="4" t="str">
        <x:v>GEO 复测明细（清洗版）
保留原 274 条记录；清除 169 个错误 HYPERLINK 公式；只用纯文本记录“是/否”。</x:v>
      </x:c>
      <x:c r="H2" s="4" t="str">
        <x:v>GEO 复测明细（清洗版）
保留原 274 条记录；清除 169 个错误 HYPERLINK 公式；只用纯文本记录“是/否”。</x:v>
      </x:c>
      <x:c r="I2" s="4" t="str">
        <x:v>GEO 复测明细（清洗版）
保留原 274 条记录；清除 169 个错误 HYPERLINK 公式；只用纯文本记录“是/否”。</x:v>
      </x:c>
      <x:c r="J2" s="4" t="str">
        <x:v>GEO 复测明细（清洗版）
保留原 274 条记录；清除 169 个错误 HYPERLINK 公式；只用纯文本记录“是/否”。</x:v>
      </x:c>
    </x:row>
    <x:row r="4" ht="32" customHeight="1">
      <x:c r="A4" s="24" t="str">
        <x:v>轮次</x:v>
      </x:c>
      <x:c r="B4" s="24" t="str">
        <x:v>测试日期</x:v>
      </x:c>
      <x:c r="C4" s="24" t="str">
        <x:v>Query编号</x:v>
      </x:c>
      <x:c r="D4" s="24" t="str">
        <x:v>Query原文</x:v>
      </x:c>
      <x:c r="E4" s="24" t="str">
        <x:v>品牌属性</x:v>
      </x:c>
      <x:c r="F4" s="24" t="str">
        <x:v>思考程度</x:v>
      </x:c>
      <x:c r="G4" s="24" t="str">
        <x:v>平台</x:v>
      </x:c>
      <x:c r="H4" s="24" t="str">
        <x:v>苏能是否出现</x:v>
      </x:c>
      <x:c r="I4" s="24" t="str">
        <x:v>官网引用</x:v>
      </x:c>
      <x:c r="J4" s="24" t="str">
        <x:v>评分0-4</x:v>
      </x:c>
      <x:c r="K4" s="24" t="str">
        <x:v>引用源1</x:v>
      </x:c>
      <x:c r="L4" s="24" t="str">
        <x:v>引用源2</x:v>
      </x:c>
      <x:c r="M4" s="24" t="str">
        <x:v>引用源3</x:v>
      </x:c>
      <x:c r="N4" s="24" t="str">
        <x:v>引用源4</x:v>
      </x:c>
      <x:c r="O4" s="24" t="str">
        <x:v>引用源5</x:v>
      </x:c>
      <x:c r="P4" s="24" t="str">
        <x:v>引用源6</x:v>
      </x:c>
      <x:c r="Q4" s="24" t="str">
        <x:v>引用源7</x:v>
      </x:c>
      <x:c r="R4" s="24" t="str">
        <x:v>引用源8</x:v>
      </x:c>
      <x:c r="S4" s="24" t="str">
        <x:v>引用源9</x:v>
      </x:c>
      <x:c r="T4" s="24" t="str">
        <x:v>引用源10</x:v>
      </x:c>
      <x:c r="U4" s="24" t="str">
        <x:v>原始文件</x:v>
      </x:c>
      <x:c r="V4" s="24" t="str">
        <x:v>备注</x:v>
      </x:c>
    </x:row>
    <x:row r="5" ht="32" customHeight="1">
      <x:c r="A5" s="25" t="str">
        <x:v>R1</x:v>
      </x:c>
      <x:c r="B5" s="26" t="n">
        <x:v>46232.166666666664</x:v>
      </x:c>
      <x:c r="C5" s="25" t="n">
        <x:v>1</x:v>
      </x:c>
      <x:c r="D5" s="25" t="str">
        <x:v>热处理炉节能改造方案</x:v>
      </x:c>
      <x:c r="E5" s="25" t="str">
        <x:v>非品牌词</x:v>
      </x:c>
      <x:c r="F5" s="25" t="str">
        <x:v>深度思考</x:v>
      </x:c>
      <x:c r="G5" s="25" t="str">
        <x:v>豆包</x:v>
      </x:c>
      <x:c r="H5" s="25" t="str">
        <x:v>否</x:v>
      </x:c>
      <x:c r="I5" s="25" t="str">
        <x:v>否</x:v>
      </x:c>
      <x:c r="J5" s="25" t="n">
        <x:v>0</x:v>
      </x:c>
      <x:c r="K5" s="25" t="str">
        <x:v>https://m.chinabgao.com/k/rechulilu/72473.html</x:v>
      </x:c>
      <x:c r="L5" s="25" t="str">
        <x:v>https://max.book118.com/html/2026/0324/5233132012013141.shtm</x:v>
      </x:c>
      <x:c r="M5" s="25" t="str">
        <x:v>https://wap.miit.gov.cn/cms_files/filemanager/1226211233/attach/20246/afd2f680f58b488ca89cc448b89ba4aa.pdf</x:v>
      </x:c>
      <x:c r="N5" s="25" t="str">
        <x:v>https://max.book118.com/html/2025/1123/8102142136010012.shtm</x:v>
      </x:c>
      <x:c r="O5" s="25" t="str">
        <x:v>https://c.m.163.com/news/a/KRK5M4R90556GMK0.html</x:v>
      </x:c>
      <x:c r="P5" s="25" t="str">
        <x:v>http://www.jsecoo.com/news/673.html</x:v>
      </x:c>
      <x:c r="Q5" s="25" t="str">
        <x:v>https://www.ruizeny.com/jienengjishujnzsdetail/20260324418.html</x:v>
      </x:c>
      <x:c r="R5" s="25" t="str">
        <x:v>https://www.tchrzkl.com/news/763.html</x:v>
      </x:c>
      <x:c r="S5" s="25" t="str">
        <x:v>http://www.zhinengdianlu.com/newsinfo/573.html</x:v>
      </x:c>
      <x:c r="T5" s="25" t="str">
        <x:v>https://m.163.com/dy/article/KJF7858N054758MK.html</x:v>
      </x:c>
      <x:c r="U5" s="25" t="str">
        <x:v>GEO 1.0 (1).xlsx</x:v>
      </x:c>
      <x:c r="V5" s="25" t="str"/>
    </x:row>
    <x:row r="6" ht="32" customHeight="1">
      <x:c r="A6" s="25" t="str">
        <x:v>R1</x:v>
      </x:c>
      <x:c r="B6" s="26" t="n">
        <x:v>46232.166666666664</x:v>
      </x:c>
      <x:c r="C6" s="25" t="n">
        <x:v>2</x:v>
      </x:c>
      <x:c r="D6" s="25" t="str">
        <x:v>热处理炉节能改造方案</x:v>
      </x:c>
      <x:c r="E6" s="25" t="str">
        <x:v>非品牌词</x:v>
      </x:c>
      <x:c r="F6" s="25" t="str">
        <x:v>深度思考</x:v>
      </x:c>
      <x:c r="G6" s="25" t="str">
        <x:v>DeepSeek</x:v>
      </x:c>
      <x:c r="H6" s="25" t="str">
        <x:v>否</x:v>
      </x:c>
      <x:c r="I6" s="25" t="str">
        <x:v>否</x:v>
      </x:c>
      <x:c r="J6" s="25" t="n">
        <x:v>0</x:v>
      </x:c>
      <x:c r="K6" s="25" t="str">
        <x:v>https://cjournal.hep.com.cn/1672-0903/CN/1242834458962289618</x:v>
      </x:c>
      <x:c r="L6" s="25" t="str">
        <x:v>https://ctimes.com.tw/DispArt/tw/%e9%87%91%e5%b1%ac%e5%8a%a0%e5%b7%a5%e8%a3%bd%e7%a8%8b/%e9%87%91%e5%b1%ac%e4%b8%ad%e5%bf%83/%e4%b8%89%e6%98%9f%e7%a7%91%e6%8a%80/2512181950JG.shtml</x:v>
      </x:c>
      <x:c r="M6" s="25" t="str">
        <x:v>http://ynjn.yn.gov.cn/cnPc/jnzs/8615.html</x:v>
      </x:c>
      <x:c r="N6" s="25" t="str">
        <x:v>https://sgdaily.shougang.com.cn/sgrb/2025/08/11/app_75330.html</x:v>
      </x:c>
      <x:c r="O6" s="25" t="str">
        <x:v>https://news.mysteel.com/a/25071114/1FB511CE347DD4F2.html</x:v>
      </x:c>
      <x:c r="P6" s="25" t="str">
        <x:v>https://steelx2.com/news/634/634216.html</x:v>
      </x:c>
      <x:c r="Q6" s="25" t="str">
        <x:v>https://ceri.com.cn/xwzx/jcyw/202508/t20250826_306935.html</x:v>
      </x:c>
      <x:c r="R6" s="25" t="str">
        <x:v>http://ynjn.yn.gov.cn/cnMb/jnzs/7598.html</x:v>
      </x:c>
      <x:c r="S6" s="25" t="str">
        <x:v>https://news.zgw.com/gcdt/20250425/910631.html</x:v>
      </x:c>
      <x:c r="T6" s="25" t="str">
        <x:v>http://www.csteelnews.cn/qypd/gl/202604/t20260402_108908.html</x:v>
      </x:c>
      <x:c r="U6" s="25" t="str">
        <x:v>GEO 1.0 (1).xlsx</x:v>
      </x:c>
      <x:c r="V6" s="25" t="str"/>
    </x:row>
    <x:row r="7" ht="32" customHeight="1">
      <x:c r="A7" s="25" t="str">
        <x:v>R1</x:v>
      </x:c>
      <x:c r="B7" s="26" t="n">
        <x:v>46232.166666666664</x:v>
      </x:c>
      <x:c r="C7" s="25" t="n">
        <x:v>3</x:v>
      </x:c>
      <x:c r="D7" s="25" t="str">
        <x:v>热处理炉节能改造方案</x:v>
      </x:c>
      <x:c r="E7" s="25" t="str">
        <x:v>非品牌词</x:v>
      </x:c>
      <x:c r="F7" s="25" t="str">
        <x:v>深度思考</x:v>
      </x:c>
      <x:c r="G7" s="25" t="str">
        <x:v>元宝</x:v>
      </x:c>
      <x:c r="H7" s="25" t="str">
        <x:v>否</x:v>
      </x:c>
      <x:c r="I7" s="25" t="str">
        <x:v>否</x:v>
      </x:c>
      <x:c r="J7" s="25" t="n">
        <x:v>0</x:v>
      </x:c>
      <x:c r="K7" s="25" t="str"/>
      <x:c r="L7" s="25" t="str"/>
      <x:c r="M7" s="25" t="str"/>
      <x:c r="N7" s="25" t="str"/>
      <x:c r="O7" s="25" t="str"/>
      <x:c r="P7" s="25" t="str"/>
      <x:c r="Q7" s="25" t="str"/>
      <x:c r="R7" s="25" t="str"/>
      <x:c r="S7" s="25" t="str"/>
      <x:c r="T7" s="25" t="str"/>
      <x:c r="U7" s="25" t="str">
        <x:v>GEO 1.0 (1).xlsx</x:v>
      </x:c>
      <x:c r="V7" s="25" t="str"/>
    </x:row>
    <x:row r="8" ht="32" customHeight="1">
      <x:c r="A8" s="25" t="str">
        <x:v>R1</x:v>
      </x:c>
      <x:c r="B8" s="26" t="n">
        <x:v>46232.166666666664</x:v>
      </x:c>
      <x:c r="C8" s="25" t="n">
        <x:v>4</x:v>
      </x:c>
      <x:c r="D8" s="25" t="str">
        <x:v>热处理炉节能改造方案</x:v>
      </x:c>
      <x:c r="E8" s="25" t="str">
        <x:v>非品牌词</x:v>
      </x:c>
      <x:c r="F8" s="25" t="str">
        <x:v>深度思考</x:v>
      </x:c>
      <x:c r="G8" s="25" t="str">
        <x:v>通义</x:v>
      </x:c>
      <x:c r="H8" s="25" t="str"/>
      <x:c r="I8" s="25" t="str">
        <x:v>否</x:v>
      </x:c>
      <x:c r="J8" s="25"/>
      <x:c r="K8" s="25" t="str"/>
      <x:c r="L8" s="25" t="str"/>
      <x:c r="M8" s="25" t="str"/>
      <x:c r="N8" s="25" t="str"/>
      <x:c r="O8" s="25" t="str"/>
      <x:c r="P8" s="25" t="str"/>
      <x:c r="Q8" s="25" t="str"/>
      <x:c r="R8" s="25" t="str"/>
      <x:c r="S8" s="25" t="str"/>
      <x:c r="T8" s="25" t="str"/>
      <x:c r="U8" s="25" t="str">
        <x:v>GEO 1.0 (1).xlsx</x:v>
      </x:c>
      <x:c r="V8" s="25" t="str"/>
    </x:row>
    <x:row r="9" ht="32" customHeight="1">
      <x:c r="A9" s="25" t="str">
        <x:v>R1</x:v>
      </x:c>
      <x:c r="B9" s="26" t="n">
        <x:v>46232.166666666664</x:v>
      </x:c>
      <x:c r="C9" s="25" t="n">
        <x:v>5</x:v>
      </x:c>
      <x:c r="D9" s="25" t="str">
        <x:v>热处理炉节能改造方案</x:v>
      </x:c>
      <x:c r="E9" s="25" t="str">
        <x:v>非品牌词</x:v>
      </x:c>
      <x:c r="F9" s="25" t="str">
        <x:v>深度思考</x:v>
      </x:c>
      <x:c r="G9" s="25" t="str">
        <x:v>文心</x:v>
      </x:c>
      <x:c r="H9" s="25" t="str">
        <x:v>否</x:v>
      </x:c>
      <x:c r="I9" s="25" t="str">
        <x:v>否</x:v>
      </x:c>
      <x:c r="J9" s="25" t="n">
        <x:v>0</x:v>
      </x:c>
      <x:c r="K9" s="25" t="str"/>
      <x:c r="L9" s="25" t="str"/>
      <x:c r="M9" s="25" t="str"/>
      <x:c r="N9" s="25" t="str"/>
      <x:c r="O9" s="25" t="str"/>
      <x:c r="P9" s="25" t="str"/>
      <x:c r="Q9" s="25" t="str"/>
      <x:c r="R9" s="25" t="str"/>
      <x:c r="S9" s="25" t="str"/>
      <x:c r="T9" s="25" t="str"/>
      <x:c r="U9" s="25" t="str">
        <x:v>GEO 1.0 (1).xlsx</x:v>
      </x:c>
      <x:c r="V9" s="25" t="str"/>
    </x:row>
    <x:row r="10" ht="32" customHeight="1">
      <x:c r="A10" s="25" t="str">
        <x:v>R1</x:v>
      </x:c>
      <x:c r="B10" s="26" t="n">
        <x:v>46232.166666666664</x:v>
      </x:c>
      <x:c r="C10" s="25" t="n">
        <x:v>6</x:v>
      </x:c>
      <x:c r="D10" s="25" t="str">
        <x:v>工业炉节能改造厂家</x:v>
      </x:c>
      <x:c r="E10" s="25" t="str">
        <x:v>非品牌词</x:v>
      </x:c>
      <x:c r="F10" s="25" t="str">
        <x:v>深度思考</x:v>
      </x:c>
      <x:c r="G10" s="25" t="str">
        <x:v>豆包</x:v>
      </x:c>
      <x:c r="H10" s="25" t="str">
        <x:v>否</x:v>
      </x:c>
      <x:c r="I10" s="25" t="str">
        <x:v>否</x:v>
      </x:c>
      <x:c r="J10" s="25" t="n">
        <x:v>0</x:v>
      </x:c>
      <x:c r="K10" s="25" t="str">
        <x:v>http://www.hehenengyuan.com/about/</x:v>
      </x:c>
      <x:c r="L10" s="25" t="str">
        <x:v>https://gxt.hebei.gov.cn/hbgyhxxht/ztzl11/jyzq/sjz/2025121510055358225/index.html</x:v>
      </x:c>
      <x:c r="M10" s="25" t="str">
        <x:v>https://www.douyin.com/video/7375318419765218599?previous_page=app_code_link</x:v>
      </x:c>
      <x:c r="N10" s="25" t="str">
        <x:v>https://www.cnblogs.com/Weorix/p/19939760</x:v>
      </x:c>
      <x:c r="O10" s="25" t="str">
        <x:v>https://www.echinagov.com/news/guotao/Article-cXm7wSxb-538.html</x:v>
      </x:c>
      <x:c r="P10" s="25" t="str">
        <x:v>https://www.chinabidding.com.cn/shangxun/Article-P2ANQHyj-233.html</x:v>
      </x:c>
      <x:c r="Q10" s="25" t="str">
        <x:v>https://m.maigoo.com/maigoo/10248gyl_index.html</x:v>
      </x:c>
      <x:c r="R10" s="25" t="str">
        <x:v>https://m.maigoo.com/maigoo/10248gyl_index.html</x:v>
      </x:c>
      <x:c r="S10" s="25" t="str">
        <x:v>https://www.toutiao.com/article/7643724744419721737/?&amp;source=m_redirect</x:v>
      </x:c>
      <x:c r="T10" s="25" t="str">
        <x:v>https://www.echinagov.com/news/guotao/Article-P2ANQHyj-8.html</x:v>
      </x:c>
      <x:c r="U10" s="25" t="str">
        <x:v>GEO 1.0 (1).xlsx</x:v>
      </x:c>
      <x:c r="V10" s="25" t="str"/>
    </x:row>
    <x:row r="11" ht="32" customHeight="1">
      <x:c r="A11" s="25" t="str">
        <x:v>R1</x:v>
      </x:c>
      <x:c r="B11" s="26" t="n">
        <x:v>46232.166666666664</x:v>
      </x:c>
      <x:c r="C11" s="25" t="n">
        <x:v>7</x:v>
      </x:c>
      <x:c r="D11" s="25" t="str">
        <x:v>工业炉节能改造厂家</x:v>
      </x:c>
      <x:c r="E11" s="25" t="str">
        <x:v>非品牌词</x:v>
      </x:c>
      <x:c r="F11" s="25" t="str">
        <x:v>深度思考</x:v>
      </x:c>
      <x:c r="G11" s="25" t="str">
        <x:v>DeepSeek</x:v>
      </x:c>
      <x:c r="H11" s="25" t="str">
        <x:v>否</x:v>
      </x:c>
      <x:c r="I11" s="25" t="str">
        <x:v>否</x:v>
      </x:c>
      <x:c r="J11" s="25" t="n">
        <x:v>0</x:v>
      </x:c>
      <x:c r="K11" s="25" t="str">
        <x:v>https://www.ruizeny.com/jienengjishujnzsdetail/20260423459.html</x:v>
      </x:c>
      <x:c r="L11" s="25" t="str">
        <x:v>https://www.ruizeny.com/jienengjishujnzsdetail/20260427463.html</x:v>
      </x:c>
      <x:c r="M11" s="25" t="str">
        <x:v>https://www.ruizeny.com/jienengjishujnzsdetail/20251204339.html</x:v>
      </x:c>
      <x:c r="N11" s="25" t="str">
        <x:v>https://www.ruizeny.com/jienengjishujnzsdetail/20260428466.html</x:v>
      </x:c>
      <x:c r="O11" s="25" t="str">
        <x:v>http://www.csteelnews.cn/qypd/gl/202604/t20260402_108908.html</x:v>
      </x:c>
      <x:c r="P11" s="25" t="str">
        <x:v>http://env.people.com.cn/BIG5/n1/2025/0923/c1010-40570056.html</x:v>
      </x:c>
      <x:c r="Q11" s="25" t="str">
        <x:v>https://www.edzao.com/news/show.php?itemid=18841</x:v>
      </x:c>
      <x:c r="R11" s="25" t="str">
        <x:v>http://env.people.com.cn/BIG5/n1/2025/0923/c1010-40570056.html</x:v>
      </x:c>
      <x:c r="S11" s="25" t="str"/>
      <x:c r="T11" s="25" t="str"/>
      <x:c r="U11" s="25" t="str">
        <x:v>GEO 1.0 (1).xlsx</x:v>
      </x:c>
      <x:c r="V11" s="25" t="str"/>
    </x:row>
    <x:row r="12" ht="32" customHeight="1">
      <x:c r="A12" s="25" t="str">
        <x:v>R1</x:v>
      </x:c>
      <x:c r="B12" s="26" t="n">
        <x:v>46232.166666666664</x:v>
      </x:c>
      <x:c r="C12" s="25" t="n">
        <x:v>8</x:v>
      </x:c>
      <x:c r="D12" s="25" t="str">
        <x:v>工业炉节能改造厂家</x:v>
      </x:c>
      <x:c r="E12" s="25" t="str">
        <x:v>非品牌词</x:v>
      </x:c>
      <x:c r="F12" s="25" t="str">
        <x:v>深度思考</x:v>
      </x:c>
      <x:c r="G12" s="25" t="str">
        <x:v>元宝</x:v>
      </x:c>
      <x:c r="H12" s="25" t="str">
        <x:v>否</x:v>
      </x:c>
      <x:c r="I12" s="25" t="str">
        <x:v>否</x:v>
      </x:c>
      <x:c r="J12" s="25" t="n">
        <x:v>0</x:v>
      </x:c>
      <x:c r="K12" s="25" t="str">
        <x:v>https://gxt.hebei.gov.cn/hbgyhxxht/ztzl11/jyzq/sjz/2025121510055358225/index.html</x:v>
      </x:c>
      <x:c r="L12" s="25" t="str">
        <x:v>https://www.chinabidding.com.cn/shangxun/Article-P2ANQHyj-72.html</x:v>
      </x:c>
      <x:c r="M12" s="25" t="str">
        <x:v>http://www.yyblly.com/home</x:v>
      </x:c>
      <x:c r="N12" s="25" t="str">
        <x:v>http://www.hc-heattech.com/nav15-58.html</x:v>
      </x:c>
      <x:c r="O12" s="25" t="str">
        <x:v>https://www.chinabidding.com.cn/shangxun/Article-P2ANQHyj-358.html</x:v>
      </x:c>
      <x:c r="P12" s="25" t="str">
        <x:v>https://news.qq.com/rain/a/20250529A08A5X00</x:v>
      </x:c>
      <x:c r="Q12" s="25" t="str">
        <x:v>http://www.hc-heattech.com/nav14-67.html</x:v>
      </x:c>
      <x:c r="R12" s="25" t="str">
        <x:v>toutiao.com/article/7615339061691122211/?&amp;source=m_redirect</x:v>
      </x:c>
      <x:c r="S12" s="25" t="str">
        <x:v>https://www.lylktech.com/</x:v>
      </x:c>
      <x:c r="T12" s="25" t="str">
        <x:v>https://www.zswh.com.cn/hangyexinwen/6782.html</x:v>
      </x:c>
      <x:c r="U12" s="25" t="str">
        <x:v>GEO 1.0 (1).xlsx</x:v>
      </x:c>
      <x:c r="V12" s="25" t="str"/>
    </x:row>
    <x:row r="13" ht="32" customHeight="1">
      <x:c r="A13" s="25" t="str">
        <x:v>R1</x:v>
      </x:c>
      <x:c r="B13" s="26" t="n">
        <x:v>46232.166666666664</x:v>
      </x:c>
      <x:c r="C13" s="25" t="n">
        <x:v>9</x:v>
      </x:c>
      <x:c r="D13" s="25" t="str">
        <x:v>工业炉节能改造厂家</x:v>
      </x:c>
      <x:c r="E13" s="25" t="str">
        <x:v>非品牌词</x:v>
      </x:c>
      <x:c r="F13" s="25" t="str">
        <x:v>深度思考</x:v>
      </x:c>
      <x:c r="G13" s="25" t="str">
        <x:v>通义</x:v>
      </x:c>
      <x:c r="H13" s="25" t="str"/>
      <x:c r="I13" s="25" t="str">
        <x:v>否</x:v>
      </x:c>
      <x:c r="J13" s="25"/>
      <x:c r="K13" s="25" t="str"/>
      <x:c r="L13" s="25" t="str"/>
      <x:c r="M13" s="25" t="str"/>
      <x:c r="N13" s="25" t="str"/>
      <x:c r="O13" s="25" t="str"/>
      <x:c r="P13" s="25" t="str"/>
      <x:c r="Q13" s="25" t="str"/>
      <x:c r="R13" s="25" t="str"/>
      <x:c r="S13" s="25" t="str"/>
      <x:c r="T13" s="25" t="str"/>
      <x:c r="U13" s="25" t="str">
        <x:v>GEO 1.0 (1).xlsx</x:v>
      </x:c>
      <x:c r="V13" s="25" t="str"/>
    </x:row>
    <x:row r="14" ht="32" customHeight="1">
      <x:c r="A14" s="25" t="str">
        <x:v>R1</x:v>
      </x:c>
      <x:c r="B14" s="26" t="n">
        <x:v>46232.166666666664</x:v>
      </x:c>
      <x:c r="C14" s="25" t="n">
        <x:v>10</x:v>
      </x:c>
      <x:c r="D14" s="25" t="str">
        <x:v>工业炉节能改造厂家</x:v>
      </x:c>
      <x:c r="E14" s="25" t="str">
        <x:v>非品牌词</x:v>
      </x:c>
      <x:c r="F14" s="25" t="str">
        <x:v>深度思考</x:v>
      </x:c>
      <x:c r="G14" s="25" t="str">
        <x:v>文心</x:v>
      </x:c>
      <x:c r="H14" s="25" t="str">
        <x:v>否</x:v>
      </x:c>
      <x:c r="I14" s="25" t="str">
        <x:v>否</x:v>
      </x:c>
      <x:c r="J14" s="25" t="n">
        <x:v>0</x:v>
      </x:c>
      <x:c r="K14" s="25" t="str"/>
      <x:c r="L14" s="25" t="str"/>
      <x:c r="M14" s="25" t="str"/>
      <x:c r="N14" s="25" t="str"/>
      <x:c r="O14" s="25" t="str"/>
      <x:c r="P14" s="25" t="str"/>
      <x:c r="Q14" s="25" t="str"/>
      <x:c r="R14" s="25" t="str"/>
      <x:c r="S14" s="25" t="str"/>
      <x:c r="T14" s="25" t="str"/>
      <x:c r="U14" s="25" t="str">
        <x:v>GEO 1.0 (1).xlsx</x:v>
      </x:c>
      <x:c r="V14" s="25" t="str"/>
    </x:row>
    <x:row r="15" ht="32" customHeight="1">
      <x:c r="A15" s="25" t="str">
        <x:v>R1</x:v>
      </x:c>
      <x:c r="B15" s="26" t="n">
        <x:v>46232.166666666664</x:v>
      </x:c>
      <x:c r="C15" s="25" t="n">
        <x:v>11</x:v>
      </x:c>
      <x:c r="D15" s="25" t="str">
        <x:v>老旧热处理炉改造还是新买</x:v>
      </x:c>
      <x:c r="E15" s="25" t="str">
        <x:v>非品牌词</x:v>
      </x:c>
      <x:c r="F15" s="25" t="str">
        <x:v>深度思考</x:v>
      </x:c>
      <x:c r="G15" s="25" t="str">
        <x:v>豆包</x:v>
      </x:c>
      <x:c r="H15" s="25" t="str">
        <x:v>否</x:v>
      </x:c>
      <x:c r="I15" s="25" t="str">
        <x:v>否</x:v>
      </x:c>
      <x:c r="J15" s="25" t="n">
        <x:v>0</x:v>
      </x:c>
      <x:c r="K15" s="25" t="str"/>
      <x:c r="L15" s="25" t="str"/>
      <x:c r="M15" s="25" t="str"/>
      <x:c r="N15" s="25" t="str"/>
      <x:c r="O15" s="25" t="str"/>
      <x:c r="P15" s="25" t="str"/>
      <x:c r="Q15" s="25" t="str"/>
      <x:c r="R15" s="25" t="str"/>
      <x:c r="S15" s="25" t="str"/>
      <x:c r="T15" s="25" t="str"/>
      <x:c r="U15" s="25" t="str">
        <x:v>GEO 1.0 (1).xlsx</x:v>
      </x:c>
      <x:c r="V15" s="25" t="str"/>
    </x:row>
    <x:row r="16" ht="32" customHeight="1">
      <x:c r="A16" s="25" t="str">
        <x:v>R1</x:v>
      </x:c>
      <x:c r="B16" s="26" t="n">
        <x:v>46232.166666666664</x:v>
      </x:c>
      <x:c r="C16" s="25" t="n">
        <x:v>12</x:v>
      </x:c>
      <x:c r="D16" s="25" t="str">
        <x:v>老旧热处理炉改造还是新买</x:v>
      </x:c>
      <x:c r="E16" s="25" t="str">
        <x:v>非品牌词</x:v>
      </x:c>
      <x:c r="F16" s="25" t="str">
        <x:v>深度思考</x:v>
      </x:c>
      <x:c r="G16" s="25" t="str">
        <x:v>DeepSeek</x:v>
      </x:c>
      <x:c r="H16" s="25" t="str">
        <x:v>否</x:v>
      </x:c>
      <x:c r="I16" s="25" t="str">
        <x:v>否</x:v>
      </x:c>
      <x:c r="J16" s="25" t="n">
        <x:v>0</x:v>
      </x:c>
      <x:c r="K16" s="25" t="str">
        <x:v>https://www.zidonghua.com.cn/news/brandofficer/89639.html</x:v>
      </x:c>
      <x:c r="L16" s="25" t="str">
        <x:v>http://www.chinacir.com/jghqbg/cbgbfcjg.shtml</x:v>
      </x:c>
      <x:c r="M16" s="25" t="str">
        <x:v>https://max.book118.com/html/2026/0403/8025012040010060.shtm</x:v>
      </x:c>
      <x:c r="N16" s="25" t="str">
        <x:v>https://www.auto1950.com/cn/article/pdf/preview/31fd6c75-3db6-4fe5-8890-ddc1efc766b2.pdf#1#1</x:v>
      </x:c>
      <x:c r="O16" s="25" t="str">
        <x:v>https://hebei.jianyu360.cn/jybx/20260430_26042950738158.html</x:v>
      </x:c>
      <x:c r="P16" s="25" t="str">
        <x:v>https://www.chipyun.com/details/755819.html</x:v>
      </x:c>
      <x:c r="Q16" s="25" t="str">
        <x:v>https://www.gusu.cn/news/1036.html</x:v>
      </x:c>
      <x:c r="R16" s="25" t="str">
        <x:v>https://www.hepan.com/article-215889-1.html</x:v>
      </x:c>
      <x:c r="S16" s="25" t="str">
        <x:v>http://ynjn.yn.gov.cn/cnPc/jnzs/8615.html</x:v>
      </x:c>
      <x:c r="T16" s="25" t="str">
        <x:v>https://ctimes.com.tw/DispArt/tw/%e9%87%91%e5%b1%ac%e5%8a%a0%e5%b7%a5%e8%a3%bd%e7%a8%8b/%e9%87%91%e5%b1%ac%e4%b8%ad%e5%bf%83/%e4%b8%89%e6%98%9f%e7%a7%91%e6%8a%80/2512181950JG.shtml</x:v>
      </x:c>
      <x:c r="U16" s="25" t="str">
        <x:v>GEO 1.0 (1).xlsx</x:v>
      </x:c>
      <x:c r="V16" s="25" t="str"/>
    </x:row>
    <x:row r="17" ht="32" customHeight="1">
      <x:c r="A17" s="25" t="str">
        <x:v>R1</x:v>
      </x:c>
      <x:c r="B17" s="26" t="n">
        <x:v>46232.166666666664</x:v>
      </x:c>
      <x:c r="C17" s="25" t="n">
        <x:v>13</x:v>
      </x:c>
      <x:c r="D17" s="25" t="str">
        <x:v>老旧热处理炉改造还是新买</x:v>
      </x:c>
      <x:c r="E17" s="25" t="str">
        <x:v>非品牌词</x:v>
      </x:c>
      <x:c r="F17" s="25" t="str">
        <x:v>深度思考</x:v>
      </x:c>
      <x:c r="G17" s="25" t="str">
        <x:v>元宝</x:v>
      </x:c>
      <x:c r="H17" s="25" t="str">
        <x:v>否</x:v>
      </x:c>
      <x:c r="I17" s="25" t="str">
        <x:v>否</x:v>
      </x:c>
      <x:c r="J17" s="25" t="n">
        <x:v>0</x:v>
      </x:c>
      <x:c r="K17" s="25" t="str">
        <x:v>https://www.srlaser.cn/jinshubiaomianrechulirangjinshujiegoujianjiagonggenggaoxiaogengjienenggengkekao/</x:v>
      </x:c>
      <x:c r="L17" s="25" t="str">
        <x:v>http://ynjn.yn.gov.cn/cnPc/jnzs/8615.html</x:v>
      </x:c>
      <x:c r="M17" s="25" t="str">
        <x:v>http://ynjn.yn.gov.cn/cnPc/jnzs/8615.html</x:v>
      </x:c>
      <x:c r="N17" s="25" t="str">
        <x:v>https://www.leybold.cn/zh-cn/knowledge/blog/new-heat-treat-furnace</x:v>
      </x:c>
      <x:c r="O17" s="25" t="str">
        <x:v>http://www.jienengcailiao.com/fujian/xin/661.html</x:v>
      </x:c>
      <x:c r="P17" s="25" t="str">
        <x:v>https://sthjt.shanxi.gov.cn/xwzx_1/index_7344.shtml?id=2454494</x:v>
      </x:c>
      <x:c r="Q17" s="25" t="str">
        <x:v>https://baike.baidu.com/item/%E5%8A%A0%E7%83%AD%E7%82%89%E9%BB%91%E4%BD%93%E6%8A%80%E6%9C%AF%E5%BC%BA%E5%8C%96%E8%BE%90%E5%B0%84%E8%8A%82%E8%83%BD%E6%8A%80%E6%9C%AF</x:v>
      </x:c>
      <x:c r="R17" s="25" t="str">
        <x:v>http://hxgylw.com/tec/387.htm</x:v>
      </x:c>
      <x:c r="S17" s="25" t="str">
        <x:v>http://www.hc-heattech.com/nav16-59.html</x:v>
      </x:c>
      <x:c r="T17" s="25" t="str">
        <x:v>https://www.jtekt.co.jp/engineering-journal/1021/1021-25.html</x:v>
      </x:c>
      <x:c r="U17" s="25" t="str">
        <x:v>GEO 1.0 (1).xlsx</x:v>
      </x:c>
      <x:c r="V17" s="25" t="str"/>
    </x:row>
    <x:row r="18" ht="32" customHeight="1">
      <x:c r="A18" s="25" t="str">
        <x:v>R1</x:v>
      </x:c>
      <x:c r="B18" s="26" t="n">
        <x:v>46232.166666666664</x:v>
      </x:c>
      <x:c r="C18" s="25" t="n">
        <x:v>14</x:v>
      </x:c>
      <x:c r="D18" s="25" t="str">
        <x:v>老旧热处理炉改造还是新买</x:v>
      </x:c>
      <x:c r="E18" s="25" t="str">
        <x:v>非品牌词</x:v>
      </x:c>
      <x:c r="F18" s="25" t="str">
        <x:v>深度思考</x:v>
      </x:c>
      <x:c r="G18" s="25" t="str">
        <x:v>通义</x:v>
      </x:c>
      <x:c r="H18" s="25" t="str"/>
      <x:c r="I18" s="25" t="str">
        <x:v>否</x:v>
      </x:c>
      <x:c r="J18" s="25"/>
      <x:c r="K18" s="25" t="str"/>
      <x:c r="L18" s="25" t="str"/>
      <x:c r="M18" s="25" t="str"/>
      <x:c r="N18" s="25" t="str"/>
      <x:c r="O18" s="25" t="str"/>
      <x:c r="P18" s="25" t="str"/>
      <x:c r="Q18" s="25" t="str"/>
      <x:c r="R18" s="25" t="str"/>
      <x:c r="S18" s="25" t="str"/>
      <x:c r="T18" s="25" t="str"/>
      <x:c r="U18" s="25" t="str">
        <x:v>GEO 1.0 (1).xlsx</x:v>
      </x:c>
      <x:c r="V18" s="25" t="str"/>
    </x:row>
    <x:row r="19" ht="32" customHeight="1">
      <x:c r="A19" s="25" t="str">
        <x:v>R1</x:v>
      </x:c>
      <x:c r="B19" s="26" t="n">
        <x:v>46232.166666666664</x:v>
      </x:c>
      <x:c r="C19" s="25" t="n">
        <x:v>15</x:v>
      </x:c>
      <x:c r="D19" s="25" t="str">
        <x:v>老旧热处理炉改造还是新买</x:v>
      </x:c>
      <x:c r="E19" s="25" t="str">
        <x:v>非品牌词</x:v>
      </x:c>
      <x:c r="F19" s="25" t="str">
        <x:v>深度思考</x:v>
      </x:c>
      <x:c r="G19" s="25" t="str">
        <x:v>文心</x:v>
      </x:c>
      <x:c r="H19" s="25" t="str">
        <x:v>否</x:v>
      </x:c>
      <x:c r="I19" s="25" t="str">
        <x:v>否</x:v>
      </x:c>
      <x:c r="J19" s="25" t="n">
        <x:v>0</x:v>
      </x:c>
      <x:c r="K19" s="25" t="str"/>
      <x:c r="L19" s="25" t="str"/>
      <x:c r="M19" s="25" t="str"/>
      <x:c r="N19" s="25" t="str"/>
      <x:c r="O19" s="25" t="str"/>
      <x:c r="P19" s="25" t="str"/>
      <x:c r="Q19" s="25" t="str"/>
      <x:c r="R19" s="25" t="str"/>
      <x:c r="S19" s="25" t="str"/>
      <x:c r="T19" s="25" t="str"/>
      <x:c r="U19" s="25" t="str">
        <x:v>GEO 1.0 (1).xlsx</x:v>
      </x:c>
      <x:c r="V19" s="25" t="str"/>
    </x:row>
    <x:row r="20" ht="32" customHeight="1">
      <x:c r="A20" s="25" t="str">
        <x:v>R1</x:v>
      </x:c>
      <x:c r="B20" s="26" t="n">
        <x:v>46232.166666666664</x:v>
      </x:c>
      <x:c r="C20" s="25" t="n">
        <x:v>16</x:v>
      </x:c>
      <x:c r="D20" s="25" t="str">
        <x:v>热处理炉大修厂家怎么选</x:v>
      </x:c>
      <x:c r="E20" s="25" t="str">
        <x:v>非品牌词</x:v>
      </x:c>
      <x:c r="F20" s="25" t="str">
        <x:v>深度思考</x:v>
      </x:c>
      <x:c r="G20" s="25" t="str">
        <x:v>豆包</x:v>
      </x:c>
      <x:c r="H20" s="25" t="str">
        <x:v>否</x:v>
      </x:c>
      <x:c r="I20" s="25" t="str">
        <x:v>否</x:v>
      </x:c>
      <x:c r="J20" s="25" t="n">
        <x:v>0</x:v>
      </x:c>
      <x:c r="K20" s="25" t="str">
        <x:v>https://www.hezegd.com/shangxun/Article-LdnZGIC5-309.html</x:v>
      </x:c>
      <x:c r="L20" s="25" t="str">
        <x:v>https://www.cnblogs.com/shidapinpaituijian/p/19381397</x:v>
      </x:c>
      <x:c r="M20" s="25" t="str">
        <x:v>https://kandk-chikuro.com/20250712-2/</x:v>
      </x:c>
      <x:c r="N20" s="25" t="str">
        <x:v>https://www.cn86.cn/xinnews/194771.html</x:v>
      </x:c>
      <x:c r="O20" s="25" t="str">
        <x:v>https://www.shangyexinzhi.com/article/31336853.html</x:v>
      </x:c>
      <x:c r="P20" s="25" t="str">
        <x:v>https://software.it168.com/a2026/0226/6917/000006917637.shtml</x:v>
      </x:c>
      <x:c r="Q20" s="25" t="str">
        <x:v>http://samr.gov.cn/tzsbj/zcfg/flfg/art/2019/art_8068c37fbbe9449ea5a443632d104335.html</x:v>
      </x:c>
      <x:c r="R20" s="25" t="str">
        <x:v>https://www.gkzhan.com/news/detail/186072.html</x:v>
      </x:c>
      <x:c r="S20" s="25" t="str">
        <x:v>https://bulletin.jszbtb.com/project/2020-04-28/202004280909410641938886456.pdf</x:v>
      </x:c>
      <x:c r="T20" s="25" t="str">
        <x:v>https://m.yfbzb.com/inviteBid/detail/20260214_577271848.html</x:v>
      </x:c>
      <x:c r="U20" s="25" t="str">
        <x:v>GEO 1.0 (1).xlsx</x:v>
      </x:c>
      <x:c r="V20" s="25" t="str"/>
    </x:row>
    <x:row r="21" ht="32" customHeight="1">
      <x:c r="A21" s="25" t="str">
        <x:v>R1</x:v>
      </x:c>
      <x:c r="B21" s="26" t="n">
        <x:v>46232.166666666664</x:v>
      </x:c>
      <x:c r="C21" s="25" t="n">
        <x:v>17</x:v>
      </x:c>
      <x:c r="D21" s="25" t="str">
        <x:v>热处理炉大修厂家怎么选</x:v>
      </x:c>
      <x:c r="E21" s="25" t="str">
        <x:v>非品牌词</x:v>
      </x:c>
      <x:c r="F21" s="25" t="str">
        <x:v>深度思考</x:v>
      </x:c>
      <x:c r="G21" s="25" t="str">
        <x:v>DeepSeek</x:v>
      </x:c>
      <x:c r="H21" s="25" t="str">
        <x:v>否</x:v>
      </x:c>
      <x:c r="I21" s="25" t="str">
        <x:v>否</x:v>
      </x:c>
      <x:c r="J21" s="25" t="n">
        <x:v>0</x:v>
      </x:c>
      <x:c r="K21" s="25" t="str">
        <x:v>http://sxlmgt.com/info/2014011517/201409171532083950/20250821173239895.shtml</x:v>
      </x:c>
      <x:c r="L21" s="25" t="str">
        <x:v>https://www.sohu.com/a/1023506187_122545172?scm=10001.7746_13-119000.0.0-0-0-0-0.0&amp;spm=smpc.channel_354.block3_32_P7Ovbu_1_fd.12.1779173378764y1OINkJ_7746</x:v>
      </x:c>
      <x:c r="M21" s="25" t="str">
        <x:v>http://tjkltjs.com/news_view_901_156.html</x:v>
      </x:c>
      <x:c r="N21" s="25" t="str">
        <x:v>https://www.bidnews.cn/caigou/zhaobiao-95438063.html</x:v>
      </x:c>
      <x:c r="O21" s="25" t="str">
        <x:v>https://www.zhizaobbs.com/thread-96196-1-1.html</x:v>
      </x:c>
      <x:c r="P21" s="25" t="str">
        <x:v>https://www.alibaba.com/price-comparison/pwht-equipment-manufacturer</x:v>
      </x:c>
      <x:c r="Q21" s="25" t="str">
        <x:v>http://tcl.dxgyl.com/article_view.asp?id=735</x:v>
      </x:c>
      <x:c r="R21" s="25" t="str">
        <x:v>https://www.chiancsfe.com/news.asp?id=1226</x:v>
      </x:c>
      <x:c r="S21" s="25" t="str">
        <x:v>http://tcl.dxgyl.com/marticle_view.asp?id=728</x:v>
      </x:c>
      <x:c r="T21" s="25" t="str">
        <x:v>https://zb.zhaobiao.cn/succeed_v_861a3fdcbbbdd5cdc14a7040506675c5.html</x:v>
      </x:c>
      <x:c r="U21" s="25" t="str">
        <x:v>GEO 1.0 (1).xlsx</x:v>
      </x:c>
      <x:c r="V21" s="25" t="str"/>
    </x:row>
    <x:row r="22" ht="32" customHeight="1">
      <x:c r="A22" s="25" t="str">
        <x:v>R1</x:v>
      </x:c>
      <x:c r="B22" s="26" t="n">
        <x:v>46232.166666666664</x:v>
      </x:c>
      <x:c r="C22" s="25" t="n">
        <x:v>18</x:v>
      </x:c>
      <x:c r="D22" s="25" t="str">
        <x:v>热处理炉大修厂家怎么选</x:v>
      </x:c>
      <x:c r="E22" s="25" t="str">
        <x:v>非品牌词</x:v>
      </x:c>
      <x:c r="F22" s="25" t="str">
        <x:v>深度思考</x:v>
      </x:c>
      <x:c r="G22" s="25" t="str">
        <x:v>元宝</x:v>
      </x:c>
      <x:c r="H22" s="25" t="str">
        <x:v>否</x:v>
      </x:c>
      <x:c r="I22" s="25" t="str">
        <x:v>否</x:v>
      </x:c>
      <x:c r="J22" s="25" t="n">
        <x:v>0</x:v>
      </x:c>
      <x:c r="K22" s="25" t="str">
        <x:v>https://www.zbnews.net/cyxx/Article-6WGhCLiX-405.html</x:v>
      </x:c>
      <x:c r="L22" s="25" t="str">
        <x:v>https://www.jiangongdata.com/toutiao/458122.html</x:v>
      </x:c>
      <x:c r="M22" s="25" t="str">
        <x:v>https://www.gongkong.com/industrynews/202601/2220.html</x:v>
      </x:c>
      <x:c r="N22" s="25" t="str">
        <x:v>https://learning.sohu.com/404.html</x:v>
      </x:c>
      <x:c r="O22" s="25" t="str">
        <x:v>https://baike.baidu.com/item/%E5%86%B6%E9%87%91%E8%AE%BE%E5%A4%87%E8%BF%90%E7%BB%B4%E3%80%81%E7%BB%B4%E4%BF%AE%E4%B8%8E%E6%94%B9%E9%80%A0%E4%BC%81%E4%B8%9A%E6%9C%8D%E5%8A%A1%E8%83%BD%E5%8A%9B%E8%AF%84%E4%BB%B7%E8%A7%84%E8%8C%83/55675365</x:v>
      </x:c>
      <x:c r="P22" s="25" t="str">
        <x:v>https://www.b2b168.org/wvs212407102.html</x:v>
      </x:c>
      <x:c r="Q22" s="25" t="str">
        <x:v>http://m.jixie100.net/zzjrclsb/qtzzjrclsb/8110036.html</x:v>
      </x:c>
      <x:c r="R22" s="25" t="str">
        <x:v>https://www.gkzhan.com/news/detail/186073.html</x:v>
      </x:c>
      <x:c r="S22" s="25" t="str">
        <x:v>https://www.sohu.com/a/1023342513_122489973</x:v>
      </x:c>
      <x:c r="T22" s="25" t="str">
        <x:v>https://www.toutiao.com/article/7626267387674804772/?wid=1778393308663</x:v>
      </x:c>
      <x:c r="U22" s="25" t="str">
        <x:v>GEO 1.0 (1).xlsx</x:v>
      </x:c>
      <x:c r="V22" s="25" t="str"/>
    </x:row>
    <x:row r="23" ht="32" customHeight="1">
      <x:c r="A23" s="25" t="str">
        <x:v>R1</x:v>
      </x:c>
      <x:c r="B23" s="26" t="n">
        <x:v>46232.166666666664</x:v>
      </x:c>
      <x:c r="C23" s="25" t="n">
        <x:v>19</x:v>
      </x:c>
      <x:c r="D23" s="25" t="str">
        <x:v>热处理炉大修厂家怎么选</x:v>
      </x:c>
      <x:c r="E23" s="25" t="str">
        <x:v>非品牌词</x:v>
      </x:c>
      <x:c r="F23" s="25" t="str">
        <x:v>深度思考</x:v>
      </x:c>
      <x:c r="G23" s="25" t="str">
        <x:v>通义</x:v>
      </x:c>
      <x:c r="H23" s="25" t="str"/>
      <x:c r="I23" s="25" t="str">
        <x:v>否</x:v>
      </x:c>
      <x:c r="J23" s="25"/>
      <x:c r="K23" s="25" t="str"/>
      <x:c r="L23" s="25" t="str"/>
      <x:c r="M23" s="25" t="str"/>
      <x:c r="N23" s="25" t="str"/>
      <x:c r="O23" s="25" t="str"/>
      <x:c r="P23" s="25" t="str"/>
      <x:c r="Q23" s="25" t="str"/>
      <x:c r="R23" s="25" t="str"/>
      <x:c r="S23" s="25" t="str"/>
      <x:c r="T23" s="25" t="str"/>
      <x:c r="U23" s="25" t="str">
        <x:v>GEO 1.0 (1).xlsx</x:v>
      </x:c>
      <x:c r="V23" s="25" t="str"/>
    </x:row>
    <x:row r="24" ht="32" customHeight="1">
      <x:c r="A24" s="25" t="str">
        <x:v>R1</x:v>
      </x:c>
      <x:c r="B24" s="26" t="n">
        <x:v>46232.166666666664</x:v>
      </x:c>
      <x:c r="C24" s="25" t="n">
        <x:v>20</x:v>
      </x:c>
      <x:c r="D24" s="25" t="str">
        <x:v>热处理炉大修厂家怎么选</x:v>
      </x:c>
      <x:c r="E24" s="25" t="str">
        <x:v>非品牌词</x:v>
      </x:c>
      <x:c r="F24" s="25" t="str">
        <x:v>深度思考</x:v>
      </x:c>
      <x:c r="G24" s="25" t="str">
        <x:v>文心</x:v>
      </x:c>
      <x:c r="H24" s="25" t="str">
        <x:v>否</x:v>
      </x:c>
      <x:c r="I24" s="25" t="str">
        <x:v>否</x:v>
      </x:c>
      <x:c r="J24" s="25" t="n">
        <x:v>0</x:v>
      </x:c>
      <x:c r="K24" s="25" t="str"/>
      <x:c r="L24" s="25" t="str"/>
      <x:c r="M24" s="25" t="str"/>
      <x:c r="N24" s="25" t="str"/>
      <x:c r="O24" s="25" t="str"/>
      <x:c r="P24" s="25" t="str"/>
      <x:c r="Q24" s="25" t="str"/>
      <x:c r="R24" s="25" t="str"/>
      <x:c r="S24" s="25" t="str"/>
      <x:c r="T24" s="25" t="str"/>
      <x:c r="U24" s="25" t="str">
        <x:v>GEO 1.0 (1).xlsx</x:v>
      </x:c>
      <x:c r="V24" s="25" t="str"/>
    </x:row>
    <x:row r="25" ht="32" customHeight="1">
      <x:c r="A25" s="25" t="str">
        <x:v>R1</x:v>
      </x:c>
      <x:c r="B25" s="26" t="n">
        <x:v>46232.166666666664</x:v>
      </x:c>
      <x:c r="C25" s="25" t="n">
        <x:v>21</x:v>
      </x:c>
      <x:c r="D25" s="25" t="str">
        <x:v>热处理炉炉衬翻新方案</x:v>
      </x:c>
      <x:c r="E25" s="25" t="str">
        <x:v>非品牌词</x:v>
      </x:c>
      <x:c r="F25" s="25" t="str">
        <x:v>深度思考</x:v>
      </x:c>
      <x:c r="G25" s="25" t="str">
        <x:v>豆包</x:v>
      </x:c>
      <x:c r="H25" s="25" t="str">
        <x:v>否</x:v>
      </x:c>
      <x:c r="I25" s="25" t="str">
        <x:v>否</x:v>
      </x:c>
      <x:c r="J25" s="25" t="n">
        <x:v>0</x:v>
      </x:c>
      <x:c r="K25" s="25" t="str">
        <x:v>https://link.wtturl.cn/?target=https%3A%2F%2Fshuidi.cn%2Fcompany-9f20212d9b91d988983f07af2960689e.html&amp;scene=im&amp;aid=497858&amp;lang=zh</x:v>
      </x:c>
      <x:c r="L25" s="25" t="str">
        <x:v>https://link.wtturl.cn/?target=https%3A%2F%2Fwww.gauss-control.com%2F&amp;scene=im&amp;aid=497858&amp;lang=zh</x:v>
      </x:c>
      <x:c r="M25" s="25" t="str">
        <x:v>https://link.wtturl.cn/?target=http%3A%2F%2Fredfcs.com%2F&amp;scene=im&amp;aid=497858&amp;lang=zh</x:v>
      </x:c>
      <x:c r="N25" s="25" t="str">
        <x:v>https://link.wtturl.cn/?target=https%3A%2F%2Fiet.ustb.edu.cn%2F&amp;scene=im&amp;aid=497858&amp;lang=zh</x:v>
      </x:c>
      <x:c r="O25" s="25" t="str">
        <x:v>https://link.wtturl.cn/?target=http%3A%2F%2Fwww.eeti.cn%2F&amp;scene=im&amp;aid=497858&amp;lang=zh</x:v>
      </x:c>
      <x:c r="P25" s="25" t="str">
        <x:v>https://link.wtturl.cn/?target=https%3A%2F%2Fwww.xinhuagroup.com%2F&amp;scene=im&amp;aid=497858&amp;lang=zh</x:v>
      </x:c>
      <x:c r="Q25" s="25" t="str">
        <x:v>https://link.wtturl.cn/?target=http%3A%2F%2Fwww.danoooo.com%2F&amp;scene=im&amp;aid=497858&amp;lang=zh</x:v>
      </x:c>
      <x:c r="R25" s="25" t="str">
        <x:v>https://www.gauss-control.com/</x:v>
      </x:c>
      <x:c r="S25" s="25" t="str">
        <x:v>http://www.redfcs.com/</x:v>
      </x:c>
      <x:c r="T25" s="25" t="str">
        <x:v>https://www.jdzol.com/detuiyi/Article-ESt7L-60.html</x:v>
      </x:c>
      <x:c r="U25" s="25" t="str">
        <x:v>GEO 1.0 (1).xlsx</x:v>
      </x:c>
      <x:c r="V25" s="25" t="str"/>
    </x:row>
    <x:row r="26" ht="32" customHeight="1">
      <x:c r="A26" s="25" t="str">
        <x:v>R1</x:v>
      </x:c>
      <x:c r="B26" s="26" t="n">
        <x:v>46232.166666666664</x:v>
      </x:c>
      <x:c r="C26" s="25" t="n">
        <x:v>22</x:v>
      </x:c>
      <x:c r="D26" s="25" t="str">
        <x:v>热处理炉炉衬翻新方案</x:v>
      </x:c>
      <x:c r="E26" s="25" t="str">
        <x:v>非品牌词</x:v>
      </x:c>
      <x:c r="F26" s="25" t="str">
        <x:v>深度思考</x:v>
      </x:c>
      <x:c r="G26" s="25" t="str">
        <x:v>DeepSeek</x:v>
      </x:c>
      <x:c r="H26" s="25" t="str">
        <x:v>否</x:v>
      </x:c>
      <x:c r="I26" s="25" t="str">
        <x:v>否</x:v>
      </x:c>
      <x:c r="J26" s="25" t="n">
        <x:v>0</x:v>
      </x:c>
      <x:c r="K26" s="25" t="str">
        <x:v>https://www.jigao616.com/zhuanlijieshao_5117578.aspx</x:v>
      </x:c>
      <x:c r="L26" s="25" t="str">
        <x:v>http://zggdly.com/articleinfo/430.html</x:v>
      </x:c>
      <x:c r="M26" s="25" t="str">
        <x:v>https://library.cnu.ac.kr/eds/detail/edscoj_edscoj.yjsbglywx202306020?briefLink=%2Feds%2Fbrief%2FdiscoveryResult%3Fst%3DKWRD%26service_type%3Dbrief%26si%3DSU%26q%3D%2522Cold%2Brolling%2Bprocess%2522%26</x:v>
      </x:c>
      <x:c r="N26" s="25" t="str">
        <x:v>https://wap.cnki.net/touch/web/Journal/Article/GYJR198102004.html</x:v>
      </x:c>
      <x:c r="O26" s="25" t="str">
        <x:v>https://m.tianyancha.com/zhuanli/56fb308b7e5045e4a9c77413d05d5824</x:v>
      </x:c>
      <x:c r="P26" s="25" t="str">
        <x:v>https://ebook.chinabuilding.com.cn/zbooklib/book/detail/show?SiteID=1&amp;bookID=59296</x:v>
      </x:c>
      <x:c r="Q26" s="25" t="str">
        <x:v>https://www.guifanku.com/835343.html</x:v>
      </x:c>
      <x:c r="R26" s="25" t="str">
        <x:v>http://www.nhcl.com.cn/library/magazine/28101.html</x:v>
      </x:c>
      <x:c r="S26" s="25" t="str">
        <x:v>https://www.gc-zb.com.cn/markinfo/rMvvIFXWA9KKUDSa5pI..A.html?ucode=</x:v>
      </x:c>
      <x:c r="T26" s="25" t="str">
        <x:v>https://www.jigao616.com/zhuanlijieshao_40669000.aspx</x:v>
      </x:c>
      <x:c r="U26" s="25" t="str">
        <x:v>GEO 1.0 (1).xlsx</x:v>
      </x:c>
      <x:c r="V26" s="25" t="str"/>
    </x:row>
    <x:row r="27" ht="32" customHeight="1">
      <x:c r="A27" s="25" t="str">
        <x:v>R1</x:v>
      </x:c>
      <x:c r="B27" s="26" t="n">
        <x:v>46232.166666666664</x:v>
      </x:c>
      <x:c r="C27" s="25" t="n">
        <x:v>23</x:v>
      </x:c>
      <x:c r="D27" s="25" t="str">
        <x:v>热处理炉炉衬翻新方案</x:v>
      </x:c>
      <x:c r="E27" s="25" t="str">
        <x:v>非品牌词</x:v>
      </x:c>
      <x:c r="F27" s="25" t="str">
        <x:v>深度思考</x:v>
      </x:c>
      <x:c r="G27" s="25" t="str">
        <x:v>元宝</x:v>
      </x:c>
      <x:c r="H27" s="25" t="str">
        <x:v>否</x:v>
      </x:c>
      <x:c r="I27" s="25" t="str">
        <x:v>否</x:v>
      </x:c>
      <x:c r="J27" s="25" t="n">
        <x:v>0</x:v>
      </x:c>
      <x:c r="K27" s="25" t="str">
        <x:v>http://www.zzxknc.com/xw/hydt/1559.html</x:v>
      </x:c>
      <x:c r="L27" s="25" t="str">
        <x:v>https://www.docin.com/p-1187140547.html</x:v>
      </x:c>
      <x:c r="M27" s="25" t="str">
        <x:v>http://wnhggs.com/news/195.html</x:v>
      </x:c>
      <x:c r="N27" s="25" t="str">
        <x:v>http://mp.weixin.qq.com/s?src=11&amp;timestamp=1779933198&amp;ver=6747&amp;signature=0QyiMwQcsn*EDTFOonCT2jZzhae1asdMUOajZmY-f5ziRypEdwoQrpDRjdlXcHigPuk28oIJzVKZtXz88JEfKB*mq7xS-FaiLcVLnpz7R6Hfa-k*y3s-2ybBgWihAAaH&amp;new=1</x:v>
      </x:c>
      <x:c r="O27" s="25" t="str">
        <x:v>http://www.huolongwool.com/Article/zzzzshyjrl_1.html</x:v>
      </x:c>
      <x:c r="P27" s="25" t="str">
        <x:v>https://gxrefractory.com/zh/naihuocailiaohongluquxian/</x:v>
      </x:c>
      <x:c r="Q27" s="25" t="str">
        <x:v>http://chengchi.net/view-402.html</x:v>
      </x:c>
      <x:c r="R27" s="25" t="str">
        <x:v>https://mp.weixin.qq.com/mp/wappoc_appmsgcaptcha?poc_token=HFqgF2qjRamIhrTjX1OqQgJhinytxdJfo21MH0Jy&amp;target_url=https%3A%2F%2Fmp.weixin.qq.com%2Fs%3F__biz%3DMzI4NzAzMDI4MQ%3D%3D%26mid%3D2653181565%26idx%3D1%26sn%3D0df4d734b18dd840d427a55ea6b3ed28%26chksm%3Df1c00819f19de5d1325e2848ddbbce961576dfe78caba36ce0cb7fbd15e307f05f4ef7d2ec78#rd</x:v>
      </x:c>
      <x:c r="S27" s="25" t="str">
        <x:v>https://mp.weixin.qq.com/s?__biz=MzU2ODc0MTQ4Mg==&amp;mid=2247491051&amp;idx=1&amp;sn=32bd0103dcac29732d39f16a0dc6944b&amp;chksm=fc8806eecbff8ff88f9eedef672edea4134ec66afdf4e596d815923d744651642066210a1266#rd</x:v>
      </x:c>
      <x:c r="T27" s="25" t="str">
        <x:v>https://mp.weixin.qq.com/s?__biz=MzU2ODc0MTQ4Mg==&amp;mid=2247486932&amp;idx=1&amp;sn=22b1bfb95775fd45719cfda4b5be2460&amp;chksm=fd9b11acc688f175f713cfd409f12095e9dfb2a43b68e60960d0cc35bb5d98f0e64b042be9ff#rd</x:v>
      </x:c>
      <x:c r="U27" s="25" t="str">
        <x:v>GEO 1.0 (1).xlsx</x:v>
      </x:c>
      <x:c r="V27" s="25" t="str"/>
    </x:row>
    <x:row r="28" ht="32" customHeight="1">
      <x:c r="A28" s="25" t="str">
        <x:v>R1</x:v>
      </x:c>
      <x:c r="B28" s="26" t="n">
        <x:v>46232.166666666664</x:v>
      </x:c>
      <x:c r="C28" s="25" t="n">
        <x:v>24</x:v>
      </x:c>
      <x:c r="D28" s="25" t="str">
        <x:v>热处理炉炉衬翻新方案</x:v>
      </x:c>
      <x:c r="E28" s="25" t="str">
        <x:v>非品牌词</x:v>
      </x:c>
      <x:c r="F28" s="25" t="str">
        <x:v>深度思考</x:v>
      </x:c>
      <x:c r="G28" s="25" t="str">
        <x:v>通义</x:v>
      </x:c>
      <x:c r="H28" s="25" t="str"/>
      <x:c r="I28" s="25" t="str">
        <x:v>否</x:v>
      </x:c>
      <x:c r="J28" s="25"/>
      <x:c r="K28" s="25" t="str"/>
      <x:c r="L28" s="25" t="str"/>
      <x:c r="M28" s="25" t="str"/>
      <x:c r="N28" s="25" t="str"/>
      <x:c r="O28" s="25" t="str"/>
      <x:c r="P28" s="25" t="str"/>
      <x:c r="Q28" s="25" t="str"/>
      <x:c r="R28" s="25" t="str"/>
      <x:c r="S28" s="25" t="str"/>
      <x:c r="T28" s="25" t="str"/>
      <x:c r="U28" s="25" t="str">
        <x:v>GEO 1.0 (1).xlsx</x:v>
      </x:c>
      <x:c r="V28" s="25" t="str"/>
    </x:row>
    <x:row r="29" ht="32" customHeight="1">
      <x:c r="A29" s="25" t="str">
        <x:v>R1</x:v>
      </x:c>
      <x:c r="B29" s="26" t="n">
        <x:v>46232.166666666664</x:v>
      </x:c>
      <x:c r="C29" s="25" t="n">
        <x:v>25</x:v>
      </x:c>
      <x:c r="D29" s="25" t="str">
        <x:v>热处理炉炉衬翻新方案</x:v>
      </x:c>
      <x:c r="E29" s="25" t="str">
        <x:v>非品牌词</x:v>
      </x:c>
      <x:c r="F29" s="25" t="str">
        <x:v>深度思考</x:v>
      </x:c>
      <x:c r="G29" s="25" t="str">
        <x:v>文心</x:v>
      </x:c>
      <x:c r="H29" s="25" t="str"/>
      <x:c r="I29" s="25" t="str">
        <x:v>否</x:v>
      </x:c>
      <x:c r="J29" s="25"/>
      <x:c r="K29" s="25" t="str"/>
      <x:c r="L29" s="25" t="str"/>
      <x:c r="M29" s="25" t="str"/>
      <x:c r="N29" s="25" t="str"/>
      <x:c r="O29" s="25" t="str"/>
      <x:c r="P29" s="25" t="str"/>
      <x:c r="Q29" s="25" t="str"/>
      <x:c r="R29" s="25" t="str"/>
      <x:c r="S29" s="25" t="str"/>
      <x:c r="T29" s="25" t="str"/>
      <x:c r="U29" s="25" t="str">
        <x:v>GEO 1.0 (1).xlsx</x:v>
      </x:c>
      <x:c r="V29" s="25" t="str"/>
    </x:row>
    <x:row r="30" ht="32" customHeight="1">
      <x:c r="A30" s="25" t="str">
        <x:v>R1</x:v>
      </x:c>
      <x:c r="B30" s="26" t="n">
        <x:v>46232.166666666664</x:v>
      </x:c>
      <x:c r="C30" s="25" t="n">
        <x:v>26</x:v>
      </x:c>
      <x:c r="D30" s="25" t="str">
        <x:v>热处理炉控制系统升级厂家</x:v>
      </x:c>
      <x:c r="E30" s="25" t="str">
        <x:v>非品牌词</x:v>
      </x:c>
      <x:c r="F30" s="25" t="str">
        <x:v>深度思考</x:v>
      </x:c>
      <x:c r="G30" s="25" t="str">
        <x:v>豆包</x:v>
      </x:c>
      <x:c r="H30" s="25" t="str">
        <x:v>否</x:v>
      </x:c>
      <x:c r="I30" s="25" t="str">
        <x:v>否</x:v>
      </x:c>
      <x:c r="J30" s="25" t="n">
        <x:v>0</x:v>
      </x:c>
      <x:c r="K30" s="25" t="str">
        <x:v>https://www.toutiao.com/article/7636559710275076614/?&amp;source=m_redirect</x:v>
      </x:c>
      <x:c r="L30" s="25" t="str">
        <x:v>https://ty9.ustb.edu.cn/publish/bjkjdxgyy/kyygc/yjzl1/rcljjrlgckzxt1/index.htm</x:v>
      </x:c>
      <x:c r="M30" s="25" t="str">
        <x:v>http://www.hendari.com/products-v4.aspx</x:v>
      </x:c>
      <x:c r="N30" s="25" t="str">
        <x:v>https://www.toutiao.com/article/7636249902665843241/?&amp;source=m_redirect</x:v>
      </x:c>
      <x:c r="O30" s="25" t="str">
        <x:v>http://m.xnnews.com.cn/kjkx/202603/t20260325_4353236.shtml</x:v>
      </x:c>
      <x:c r="P30" s="25" t="str">
        <x:v>http://www.redfcs.com/</x:v>
      </x:c>
      <x:c r="Q30" s="25" t="str">
        <x:v>https://www.toutiao.com/article/7636203266325447187/?&amp;source=m_redirect</x:v>
      </x:c>
      <x:c r="R30" s="25" t="str">
        <x:v>https://www.xinhuagroup.com/about/</x:v>
      </x:c>
      <x:c r="S30" s="25" t="str">
        <x:v>https://www.gauss-control.com/</x:v>
      </x:c>
      <x:c r="T30" s="25" t="str">
        <x:v>https://www.jdzol.com/detuiyi/Article-ESt7L-60.html</x:v>
      </x:c>
      <x:c r="U30" s="25" t="str">
        <x:v>GEO 1.0 (1).xlsx</x:v>
      </x:c>
      <x:c r="V30" s="25" t="str"/>
    </x:row>
    <x:row r="31" ht="32" customHeight="1">
      <x:c r="A31" s="25" t="str">
        <x:v>R1</x:v>
      </x:c>
      <x:c r="B31" s="26" t="n">
        <x:v>46232.166666666664</x:v>
      </x:c>
      <x:c r="C31" s="25" t="n">
        <x:v>27</x:v>
      </x:c>
      <x:c r="D31" s="25" t="str">
        <x:v>热处理炉控制系统升级厂家</x:v>
      </x:c>
      <x:c r="E31" s="25" t="str">
        <x:v>非品牌词</x:v>
      </x:c>
      <x:c r="F31" s="25" t="str">
        <x:v>深度思考</x:v>
      </x:c>
      <x:c r="G31" s="25" t="str">
        <x:v>DeepSeek</x:v>
      </x:c>
      <x:c r="H31" s="25" t="str">
        <x:v>否</x:v>
      </x:c>
      <x:c r="I31" s="25" t="str">
        <x:v>否</x:v>
      </x:c>
      <x:c r="J31" s="25" t="n">
        <x:v>0</x:v>
      </x:c>
      <x:c r="K31" s="25" t="str">
        <x:v>https://www.163.com/dy/article/KRN02NPA05568W0A.html</x:v>
      </x:c>
      <x:c r="L31" s="25" t="str">
        <x:v>http://stock.10jqka.com.cn/20260122/c674240276.shtml</x:v>
      </x:c>
      <x:c r="M31" s="25" t="str">
        <x:v>https://finance.sina.com.cn/stock/aigc/zl/2026-01-14/doc-inhhfrtc4242557.shtml</x:v>
      </x:c>
      <x:c r="N31" s="25" t="str">
        <x:v>http://jslydr.com/index.php?s=/Mobile/Show/index/cid/307/id/925.html</x:v>
      </x:c>
      <x:c r="O31" s="25" t="str">
        <x:v>https://www.163.com/dy/article/KSVFOGLD0519QIKK.html?referFrom=</x:v>
      </x:c>
      <x:c r="P31" s="25" t="str">
        <x:v>https://www.brainchildtw.com/zh_TW/blog/news-2/sp10-23</x:v>
      </x:c>
      <x:c r="Q31" s="25" t="str">
        <x:v>https://bbs.w10.cn/t564968-1</x:v>
      </x:c>
      <x:c r="R31" s="25" t="str">
        <x:v>http://www.chinaplc.net/chinaplc/company_1538880.html</x:v>
      </x:c>
      <x:c r="S31" s="25" t="str">
        <x:v>https://smejs.cn/company_show.aspx?compid=82b1719e943946e091ed22d1217f1a2e</x:v>
      </x:c>
      <x:c r="T31" s="25" t="str">
        <x:v>http://furundewdz.qy6.com.cn/getprod21745939.html</x:v>
      </x:c>
      <x:c r="U31" s="25" t="str">
        <x:v>GEO 1.0 (1).xlsx</x:v>
      </x:c>
      <x:c r="V31" s="25" t="str"/>
    </x:row>
    <x:row r="32" ht="32" customHeight="1">
      <x:c r="A32" s="25" t="str">
        <x:v>R1</x:v>
      </x:c>
      <x:c r="B32" s="26" t="n">
        <x:v>46232.166666666664</x:v>
      </x:c>
      <x:c r="C32" s="25" t="n">
        <x:v>28</x:v>
      </x:c>
      <x:c r="D32" s="25" t="str">
        <x:v>热处理炉控制系统升级厂家</x:v>
      </x:c>
      <x:c r="E32" s="25" t="str">
        <x:v>非品牌词</x:v>
      </x:c>
      <x:c r="F32" s="25" t="str">
        <x:v>深度思考</x:v>
      </x:c>
      <x:c r="G32" s="25" t="str">
        <x:v>元宝</x:v>
      </x:c>
      <x:c r="H32" s="25" t="str">
        <x:v>否</x:v>
      </x:c>
      <x:c r="I32" s="25" t="str">
        <x:v>否</x:v>
      </x:c>
      <x:c r="J32" s="25" t="n">
        <x:v>0</x:v>
      </x:c>
      <x:c r="K32" s="25" t="str">
        <x:v>http://www.flightzj.com/list-92-1.html</x:v>
      </x:c>
      <x:c r="L32" s="25" t="str">
        <x:v>http://www.flightzj.com/list-92-1.html</x:v>
      </x:c>
      <x:c r="M32" s="25" t="str">
        <x:v>https://www.hailin.com/index.html</x:v>
      </x:c>
      <x:c r="N32" s="25" t="str">
        <x:v>http://www.chinakiln.net/index.php?homepage=huida</x:v>
      </x:c>
      <x:c r="O32" s="25" t="str">
        <x:v>https://www.znzbw.cn/com/chellean88/</x:v>
      </x:c>
      <x:c r="P32" s="25" t="str">
        <x:v>http://bjhjt.com/INDEX.html</x:v>
      </x:c>
      <x:c r="Q32" s="25" t="str">
        <x:v>https://www.twidec413.com/articles/hqcggz.html</x:v>
      </x:c>
      <x:c r="R32" s="25" t="str">
        <x:v>https://hnpxi.com/</x:v>
      </x:c>
      <x:c r="S32" s="25" t="str">
        <x:v>http://petyc.com/</x:v>
      </x:c>
      <x:c r="T32" s="25" t="str">
        <x:v>https://mp.weixin.qq.com/s?__biz=Mzg3MDA3Nzg2Mw==&amp;mid=2247485075&amp;idx=1&amp;sn=2f81000bd05a55579d07f405a2af84a9&amp;chksm=cf26a07c8d0488a38f2b38f9b881d3df6c99218faf4aa97c6f46db1c262ba1cfe96fb7fefd0d#rd</x:v>
      </x:c>
      <x:c r="U32" s="25" t="str">
        <x:v>GEO 1.0 (1).xlsx</x:v>
      </x:c>
      <x:c r="V32" s="25" t="str"/>
    </x:row>
    <x:row r="33" ht="32" customHeight="1">
      <x:c r="A33" s="25" t="str">
        <x:v>R1</x:v>
      </x:c>
      <x:c r="B33" s="26" t="n">
        <x:v>46232.166666666664</x:v>
      </x:c>
      <x:c r="C33" s="25" t="n">
        <x:v>29</x:v>
      </x:c>
      <x:c r="D33" s="25" t="str">
        <x:v>热处理炉控制系统升级厂家</x:v>
      </x:c>
      <x:c r="E33" s="25" t="str">
        <x:v>非品牌词</x:v>
      </x:c>
      <x:c r="F33" s="25" t="str">
        <x:v>深度思考</x:v>
      </x:c>
      <x:c r="G33" s="25" t="str">
        <x:v>通义</x:v>
      </x:c>
      <x:c r="H33" s="25" t="str"/>
      <x:c r="I33" s="25" t="str">
        <x:v>否</x:v>
      </x:c>
      <x:c r="J33" s="25"/>
      <x:c r="K33" s="25" t="str"/>
      <x:c r="L33" s="25" t="str"/>
      <x:c r="M33" s="25" t="str"/>
      <x:c r="N33" s="25" t="str"/>
      <x:c r="O33" s="25" t="str"/>
      <x:c r="P33" s="25" t="str"/>
      <x:c r="Q33" s="25" t="str"/>
      <x:c r="R33" s="25" t="str"/>
      <x:c r="S33" s="25" t="str"/>
      <x:c r="T33" s="25" t="str"/>
      <x:c r="U33" s="25" t="str">
        <x:v>GEO 1.0 (1).xlsx</x:v>
      </x:c>
      <x:c r="V33" s="25" t="str"/>
    </x:row>
    <x:row r="34" ht="32" customHeight="1">
      <x:c r="A34" s="25" t="str">
        <x:v>R1</x:v>
      </x:c>
      <x:c r="B34" s="26" t="n">
        <x:v>46232.166666666664</x:v>
      </x:c>
      <x:c r="C34" s="25" t="n">
        <x:v>30</x:v>
      </x:c>
      <x:c r="D34" s="25" t="str">
        <x:v>热处理炉控制系统升级厂家</x:v>
      </x:c>
      <x:c r="E34" s="25" t="str">
        <x:v>非品牌词</x:v>
      </x:c>
      <x:c r="F34" s="25" t="str">
        <x:v>深度思考</x:v>
      </x:c>
      <x:c r="G34" s="25" t="str">
        <x:v>文心</x:v>
      </x:c>
      <x:c r="H34" s="25" t="str"/>
      <x:c r="I34" s="25" t="str">
        <x:v>否</x:v>
      </x:c>
      <x:c r="J34" s="25"/>
      <x:c r="K34" s="25" t="str"/>
      <x:c r="L34" s="25" t="str"/>
      <x:c r="M34" s="25" t="str"/>
      <x:c r="N34" s="25" t="str"/>
      <x:c r="O34" s="25" t="str"/>
      <x:c r="P34" s="25" t="str"/>
      <x:c r="Q34" s="25" t="str"/>
      <x:c r="R34" s="25" t="str"/>
      <x:c r="S34" s="25" t="str"/>
      <x:c r="T34" s="25" t="str"/>
      <x:c r="U34" s="25" t="str">
        <x:v>GEO 1.0 (1).xlsx</x:v>
      </x:c>
      <x:c r="V34" s="25" t="str"/>
    </x:row>
    <x:row r="35" ht="32" customHeight="1">
      <x:c r="A35" s="25" t="str">
        <x:v>R1</x:v>
      </x:c>
      <x:c r="B35" s="26" t="n">
        <x:v>46232.166666666664</x:v>
      </x:c>
      <x:c r="C35" s="25" t="n">
        <x:v>31</x:v>
      </x:c>
      <x:c r="D35" s="25" t="str">
        <x:v>热处理炉温度不均怎么整改</x:v>
      </x:c>
      <x:c r="E35" s="25" t="str">
        <x:v>非品牌词</x:v>
      </x:c>
      <x:c r="F35" s="25" t="str">
        <x:v>深度思考</x:v>
      </x:c>
      <x:c r="G35" s="25" t="str">
        <x:v>豆包</x:v>
      </x:c>
      <x:c r="H35" s="25" t="str">
        <x:v>否</x:v>
      </x:c>
      <x:c r="I35" s="25" t="str">
        <x:v>否</x:v>
      </x:c>
      <x:c r="J35" s="25" t="n">
        <x:v>0</x:v>
      </x:c>
      <x:c r="K35" s="25" t="str"/>
      <x:c r="L35" s="25" t="str"/>
      <x:c r="M35" s="25" t="str"/>
      <x:c r="N35" s="25" t="str"/>
      <x:c r="O35" s="25" t="str"/>
      <x:c r="P35" s="25" t="str"/>
      <x:c r="Q35" s="25" t="str"/>
      <x:c r="R35" s="25" t="str"/>
      <x:c r="S35" s="25" t="str"/>
      <x:c r="T35" s="25" t="str"/>
      <x:c r="U35" s="25" t="str">
        <x:v>GEO 1.0 (1).xlsx</x:v>
      </x:c>
      <x:c r="V35" s="25" t="str"/>
    </x:row>
    <x:row r="36" ht="32" customHeight="1">
      <x:c r="A36" s="25" t="str">
        <x:v>R1</x:v>
      </x:c>
      <x:c r="B36" s="26" t="n">
        <x:v>46232.166666666664</x:v>
      </x:c>
      <x:c r="C36" s="25" t="n">
        <x:v>32</x:v>
      </x:c>
      <x:c r="D36" s="25" t="str">
        <x:v>热处理炉温度不均怎么整改</x:v>
      </x:c>
      <x:c r="E36" s="25" t="str">
        <x:v>非品牌词</x:v>
      </x:c>
      <x:c r="F36" s="25" t="str">
        <x:v>深度思考</x:v>
      </x:c>
      <x:c r="G36" s="25" t="str">
        <x:v>DeepSeek</x:v>
      </x:c>
      <x:c r="H36" s="25" t="str">
        <x:v>否</x:v>
      </x:c>
      <x:c r="I36" s="25" t="str">
        <x:v>否</x:v>
      </x:c>
      <x:c r="J36" s="25" t="n">
        <x:v>0</x:v>
      </x:c>
      <x:c r="K36" s="25" t="str">
        <x:v>https://wapbaike.baidu.com/item/%E5%8A%A0%E7%83%AD%E4%B8%8D%E5%9D%87/15637468</x:v>
      </x:c>
      <x:c r="L36" s="25" t="str">
        <x:v>https://wap.cnki.net/touch/web/Journal/Article/HNYJ202306019.html</x:v>
      </x:c>
      <x:c r="M36" s="25" t="str">
        <x:v>https://wap.cnki.net/touch/web/Journal/Article/SBGX202522040.html</x:v>
      </x:c>
      <x:c r="N36" s="25" t="str">
        <x:v>https://lzlib.cgl.org.cn/auto/db/detail.aspx?agfi=0&amp;cid=0&amp;cls=0&amp;count=10&amp;db=910002&amp;md=510&amp;mdd=510&amp;msd=510&amp;pd=4&amp;pdd=4&amp;prec=False&amp;psd=4&amp;rid=66837&amp;showgp=False&amp;uni=True</x:v>
      </x:c>
      <x:c r="O36" s="25" t="str">
        <x:v>https://wap.cnki.net/touch/web/Journal/Article/YJLY199905013.html</x:v>
      </x:c>
      <x:c r="P36" s="25" t="str">
        <x:v>https://mf.mw1950.com/cn/article/pdf/preview/10.3969/j.issn.1674-165X.2019.05.017.pdf#1#1</x:v>
      </x:c>
      <x:c r="Q36" s="25" t="str">
        <x:v>http://m.tianligongyelu.com/articleinfo/758.html</x:v>
      </x:c>
      <x:c r="R36" s="25" t="str">
        <x:v>https://wap.cnki.net/touch/web/Journal/Article/GWRC200601009.html</x:v>
      </x:c>
      <x:c r="S36" s="25" t="str">
        <x:v>https://read.cnki.net/web/Journal/Article/RACL199801010.html</x:v>
      </x:c>
      <x:c r="T36" s="25" t="str">
        <x:v>http://www.tianligongyelu.com/articleinfo/758.html</x:v>
      </x:c>
      <x:c r="U36" s="25" t="str">
        <x:v>GEO 1.0 (1).xlsx</x:v>
      </x:c>
      <x:c r="V36" s="25" t="str"/>
    </x:row>
    <x:row r="37" ht="32" customHeight="1">
      <x:c r="A37" s="25" t="str">
        <x:v>R1</x:v>
      </x:c>
      <x:c r="B37" s="26" t="n">
        <x:v>46232.166666666664</x:v>
      </x:c>
      <x:c r="C37" s="25" t="n">
        <x:v>33</x:v>
      </x:c>
      <x:c r="D37" s="25" t="str">
        <x:v>热处理炉温度不均怎么整改</x:v>
      </x:c>
      <x:c r="E37" s="25" t="str">
        <x:v>非品牌词</x:v>
      </x:c>
      <x:c r="F37" s="25" t="str">
        <x:v>深度思考</x:v>
      </x:c>
      <x:c r="G37" s="25" t="str">
        <x:v>元宝</x:v>
      </x:c>
      <x:c r="H37" s="25" t="str">
        <x:v>否</x:v>
      </x:c>
      <x:c r="I37" s="25" t="str">
        <x:v>否</x:v>
      </x:c>
      <x:c r="J37" s="25" t="n">
        <x:v>0</x:v>
      </x:c>
      <x:c r="K37" s="25" t="str">
        <x:v>http://www.zhinengdianlu.com/newsinfo/518.html</x:v>
      </x:c>
      <x:c r="L37" s="25" t="str">
        <x:v>https://www.chem17.com/tech_news/detail/4070255.html</x:v>
      </x:c>
      <x:c r="M37" s="25" t="str">
        <x:v>https://www.hongchengzs.com/newshow-10784364.html</x:v>
      </x:c>
      <x:c r="N37" s="25" t="str">
        <x:v>http://www.yxbsd.net/question/1894.html</x:v>
      </x:c>
      <x:c r="O37" s="25" t="str">
        <x:v>http://www.dtfhly.com/news/602.html</x:v>
      </x:c>
      <x:c r="P37" s="25" t="str">
        <x:v>http://www.shjiare.com/News-1652514.html</x:v>
      </x:c>
      <x:c r="Q37" s="25" t="str">
        <x:v>https://cncal.com/article/109127</x:v>
      </x:c>
      <x:c r="R37" s="25" t="str">
        <x:v>https://www.dwhst.cn/article-item-221.html</x:v>
      </x:c>
      <x:c r="S37" s="25" t="str">
        <x:v>https://thermalprocessing.com/maintenance-matters-handling-temperature-variations/</x:v>
      </x:c>
      <x:c r="T37" s="25" t="str">
        <x:v>https://m.chem17.com/tech_news/detail/766430.html</x:v>
      </x:c>
      <x:c r="U37" s="25" t="str">
        <x:v>GEO 1.0 (1).xlsx</x:v>
      </x:c>
      <x:c r="V37" s="25" t="str"/>
    </x:row>
    <x:row r="38" ht="32" customHeight="1">
      <x:c r="A38" s="25" t="str">
        <x:v>R1</x:v>
      </x:c>
      <x:c r="B38" s="26" t="n">
        <x:v>46232.166666666664</x:v>
      </x:c>
      <x:c r="C38" s="25" t="n">
        <x:v>34</x:v>
      </x:c>
      <x:c r="D38" s="25" t="str">
        <x:v>热处理炉温度不均怎么整改</x:v>
      </x:c>
      <x:c r="E38" s="25" t="str">
        <x:v>非品牌词</x:v>
      </x:c>
      <x:c r="F38" s="25" t="str">
        <x:v>深度思考</x:v>
      </x:c>
      <x:c r="G38" s="25" t="str">
        <x:v>通义</x:v>
      </x:c>
      <x:c r="H38" s="25" t="str"/>
      <x:c r="I38" s="25" t="str">
        <x:v>否</x:v>
      </x:c>
      <x:c r="J38" s="25"/>
      <x:c r="K38" s="25" t="str"/>
      <x:c r="L38" s="25" t="str"/>
      <x:c r="M38" s="25" t="str"/>
      <x:c r="N38" s="25" t="str"/>
      <x:c r="O38" s="25" t="str"/>
      <x:c r="P38" s="25" t="str"/>
      <x:c r="Q38" s="25" t="str"/>
      <x:c r="R38" s="25" t="str"/>
      <x:c r="S38" s="25" t="str"/>
      <x:c r="T38" s="25" t="str"/>
      <x:c r="U38" s="25" t="str">
        <x:v>GEO 1.0 (1).xlsx</x:v>
      </x:c>
      <x:c r="V38" s="25" t="str"/>
    </x:row>
    <x:row r="39" ht="32" customHeight="1">
      <x:c r="A39" s="25" t="str">
        <x:v>R1</x:v>
      </x:c>
      <x:c r="B39" s="26" t="n">
        <x:v>46232.166666666664</x:v>
      </x:c>
      <x:c r="C39" s="25" t="n">
        <x:v>35</x:v>
      </x:c>
      <x:c r="D39" s="25" t="str">
        <x:v>热处理炉温度不均怎么整改</x:v>
      </x:c>
      <x:c r="E39" s="25" t="str">
        <x:v>非品牌词</x:v>
      </x:c>
      <x:c r="F39" s="25" t="str">
        <x:v>深度思考</x:v>
      </x:c>
      <x:c r="G39" s="25" t="str">
        <x:v>文心</x:v>
      </x:c>
      <x:c r="H39" s="25" t="str"/>
      <x:c r="I39" s="25" t="str">
        <x:v>否</x:v>
      </x:c>
      <x:c r="J39" s="25"/>
      <x:c r="K39" s="25" t="str"/>
      <x:c r="L39" s="25" t="str"/>
      <x:c r="M39" s="25" t="str"/>
      <x:c r="N39" s="25" t="str"/>
      <x:c r="O39" s="25" t="str"/>
      <x:c r="P39" s="25" t="str"/>
      <x:c r="Q39" s="25" t="str"/>
      <x:c r="R39" s="25" t="str"/>
      <x:c r="S39" s="25" t="str"/>
      <x:c r="T39" s="25" t="str"/>
      <x:c r="U39" s="25" t="str">
        <x:v>GEO 1.0 (1).xlsx</x:v>
      </x:c>
      <x:c r="V39" s="25" t="str"/>
    </x:row>
    <x:row r="40" ht="32" customHeight="1">
      <x:c r="A40" s="25" t="str">
        <x:v>R1</x:v>
      </x:c>
      <x:c r="B40" s="26" t="n">
        <x:v>46232.166666666664</x:v>
      </x:c>
      <x:c r="C40" s="25" t="n">
        <x:v>36</x:v>
      </x:c>
      <x:c r="D40" s="25" t="str">
        <x:v>工业炉耗电量高怎么改造</x:v>
      </x:c>
      <x:c r="E40" s="25" t="str">
        <x:v>非品牌词</x:v>
      </x:c>
      <x:c r="F40" s="25" t="str">
        <x:v>深度思考</x:v>
      </x:c>
      <x:c r="G40" s="25" t="str">
        <x:v>豆包</x:v>
      </x:c>
      <x:c r="H40" s="25" t="str">
        <x:v>否</x:v>
      </x:c>
      <x:c r="I40" s="25" t="str">
        <x:v>否</x:v>
      </x:c>
      <x:c r="J40" s="25" t="n">
        <x:v>0</x:v>
      </x:c>
      <x:c r="K40" s="25" t="str"/>
      <x:c r="L40" s="25" t="str"/>
      <x:c r="M40" s="25" t="str"/>
      <x:c r="N40" s="25" t="str"/>
      <x:c r="O40" s="25" t="str"/>
      <x:c r="P40" s="25" t="str"/>
      <x:c r="Q40" s="25" t="str"/>
      <x:c r="R40" s="25" t="str"/>
      <x:c r="S40" s="25" t="str"/>
      <x:c r="T40" s="25" t="str"/>
      <x:c r="U40" s="25" t="str">
        <x:v>GEO 1.0 (1).xlsx</x:v>
      </x:c>
      <x:c r="V40" s="25" t="str"/>
    </x:row>
    <x:row r="41" ht="32" customHeight="1">
      <x:c r="A41" s="25" t="str">
        <x:v>R1</x:v>
      </x:c>
      <x:c r="B41" s="26" t="n">
        <x:v>46232.166666666664</x:v>
      </x:c>
      <x:c r="C41" s="25" t="n">
        <x:v>37</x:v>
      </x:c>
      <x:c r="D41" s="25" t="str">
        <x:v>工业炉耗电量高怎么改造</x:v>
      </x:c>
      <x:c r="E41" s="25" t="str">
        <x:v>非品牌词</x:v>
      </x:c>
      <x:c r="F41" s="25" t="str">
        <x:v>深度思考</x:v>
      </x:c>
      <x:c r="G41" s="25" t="str">
        <x:v>DeepSeek</x:v>
      </x:c>
      <x:c r="H41" s="25" t="str">
        <x:v>否</x:v>
      </x:c>
      <x:c r="I41" s="25" t="str">
        <x:v>否</x:v>
      </x:c>
      <x:c r="J41" s="25" t="n">
        <x:v>0</x:v>
      </x:c>
      <x:c r="K41" s="25" t="str">
        <x:v>http://www.jsgt.org.cn/index.php/Home/Index/art/a_id/36270/c_id/109.html</x:v>
      </x:c>
      <x:c r="L41" s="25" t="str">
        <x:v>https://www.ruizeny.com/jienengjishujnzsdetail/20260423459.html</x:v>
      </x:c>
      <x:c r="M41" s="25" t="str">
        <x:v>https://www.ruizeny.com/jienengjishujnzsdetail/20260428466.html</x:v>
      </x:c>
      <x:c r="N41" s="25" t="str">
        <x:v>https://www.ruizeny.com/jienengjishujnzsdetail/20260428466.html</x:v>
      </x:c>
      <x:c r="O41" s="25" t="str">
        <x:v>https://wap.nxnews.net/zw/202604/t20260413_1470100.html</x:v>
      </x:c>
      <x:c r="P41" s="25" t="str">
        <x:v>https://www.kczg.org.cn/fruit/detail?id=727209</x:v>
      </x:c>
      <x:c r="Q41" s="25" t="str">
        <x:v>http://nxnews.net/dz/sxfc/202604/t20260410_1468434.html</x:v>
      </x:c>
      <x:c r="R41" s="25" t="str">
        <x:v>http://jgrb.jiugang.com/szb/pc/con/202604/28/content_45437.html</x:v>
      </x:c>
      <x:c r="S41" s="25" t="str">
        <x:v>http://ctimes.com.tw/DispNews/tw/%e5%8a%a0%e7%86%b1%e7%b3%bb%e7%b5%b1/%e6%98%8e%e7%9f%b3%e9%87%91%e5%b1%ac/%e9%87%91%e5%b1%ac%e4%b8%ad%e5%bf%83/2412181649JP.shtml</x:v>
      </x:c>
      <x:c r="T41" s="25" t="str">
        <x:v>https://baijiahao.baidu.com/s?id=1819657200657650191&amp;wfr=spider&amp;for=pc</x:v>
      </x:c>
      <x:c r="U41" s="25" t="str">
        <x:v>GEO 1.0 (1).xlsx</x:v>
      </x:c>
      <x:c r="V41" s="25" t="str"/>
    </x:row>
    <x:row r="42" ht="32" customHeight="1">
      <x:c r="A42" s="25" t="str">
        <x:v>R1</x:v>
      </x:c>
      <x:c r="B42" s="26" t="n">
        <x:v>46232.166666666664</x:v>
      </x:c>
      <x:c r="C42" s="25" t="n">
        <x:v>38</x:v>
      </x:c>
      <x:c r="D42" s="25" t="str">
        <x:v>工业炉耗电量高怎么改造</x:v>
      </x:c>
      <x:c r="E42" s="25" t="str">
        <x:v>非品牌词</x:v>
      </x:c>
      <x:c r="F42" s="25" t="str">
        <x:v>深度思考</x:v>
      </x:c>
      <x:c r="G42" s="25" t="str">
        <x:v>元宝</x:v>
      </x:c>
      <x:c r="H42" s="25" t="str">
        <x:v>否</x:v>
      </x:c>
      <x:c r="I42" s="25" t="str">
        <x:v>否</x:v>
      </x:c>
      <x:c r="J42" s="25" t="n">
        <x:v>0</x:v>
      </x:c>
      <x:c r="K42" s="25" t="str">
        <x:v>http://www.zhinengdianlu.com/articleinfo/573.html</x:v>
      </x:c>
      <x:c r="L42" s="25" t="str">
        <x:v>https://ytlcdl.com/news/cjwt/59.html</x:v>
      </x:c>
      <x:c r="M42" s="25" t="str">
        <x:v>https://www.ruizeny.com/jienengjishujnzsdetail/20260324418.html</x:v>
      </x:c>
      <x:c r="N42" s="25" t="str">
        <x:v>http://xianzhoudianlu.com/newsinfo/336.html</x:v>
      </x:c>
      <x:c r="O42" s="25" t="str">
        <x:v>http://www.xtdl.org/xtsx-Article-3673096</x:v>
      </x:c>
      <x:c r="P42" s="25" t="str">
        <x:v>http://www.xinlanteng.com/xyzx/45.html</x:v>
      </x:c>
      <x:c r="Q42" s="25" t="str">
        <x:v>http://www.sdpyylgc.com/xinwen/hyzx/show379.html</x:v>
      </x:c>
      <x:c r="R42" s="25" t="str">
        <x:v>http://www.wfhrdl.com/article/read/800.html</x:v>
      </x:c>
      <x:c r="S42" s="25" t="str">
        <x:v>https://www.fjjnzx.cn/article/2025052616055304959488</x:v>
      </x:c>
      <x:c r="T42" s="25" t="str">
        <x:v>https://wap.miit.gov.cn/cms_files/filemanager/1226211233/attach/20243/173f8d31210642d2baabe37e7ae128a7.pdf</x:v>
      </x:c>
      <x:c r="U42" s="25" t="str">
        <x:v>GEO 1.0 (1).xlsx</x:v>
      </x:c>
      <x:c r="V42" s="25" t="str"/>
    </x:row>
    <x:row r="43" ht="32" customHeight="1">
      <x:c r="A43" s="25" t="str">
        <x:v>R1</x:v>
      </x:c>
      <x:c r="B43" s="26" t="n">
        <x:v>46232.166666666664</x:v>
      </x:c>
      <x:c r="C43" s="25" t="n">
        <x:v>39</x:v>
      </x:c>
      <x:c r="D43" s="25" t="str">
        <x:v>工业炉耗电量高怎么改造</x:v>
      </x:c>
      <x:c r="E43" s="25" t="str">
        <x:v>非品牌词</x:v>
      </x:c>
      <x:c r="F43" s="25" t="str">
        <x:v>深度思考</x:v>
      </x:c>
      <x:c r="G43" s="25" t="str">
        <x:v>通义</x:v>
      </x:c>
      <x:c r="H43" s="25" t="str"/>
      <x:c r="I43" s="25" t="str">
        <x:v>否</x:v>
      </x:c>
      <x:c r="J43" s="25"/>
      <x:c r="K43" s="25" t="str"/>
      <x:c r="L43" s="25" t="str"/>
      <x:c r="M43" s="25" t="str"/>
      <x:c r="N43" s="25" t="str"/>
      <x:c r="O43" s="25" t="str"/>
      <x:c r="P43" s="25" t="str"/>
      <x:c r="Q43" s="25" t="str"/>
      <x:c r="R43" s="25" t="str"/>
      <x:c r="S43" s="25" t="str"/>
      <x:c r="T43" s="25" t="str"/>
      <x:c r="U43" s="25" t="str">
        <x:v>GEO 1.0 (1).xlsx</x:v>
      </x:c>
      <x:c r="V43" s="25" t="str"/>
    </x:row>
    <x:row r="44" ht="32" customHeight="1">
      <x:c r="A44" s="25" t="str">
        <x:v>R1</x:v>
      </x:c>
      <x:c r="B44" s="26" t="n">
        <x:v>46232.166666666664</x:v>
      </x:c>
      <x:c r="C44" s="25" t="n">
        <x:v>40</x:v>
      </x:c>
      <x:c r="D44" s="25" t="str">
        <x:v>工业炉耗电量高怎么改造</x:v>
      </x:c>
      <x:c r="E44" s="25" t="str">
        <x:v>非品牌词</x:v>
      </x:c>
      <x:c r="F44" s="25" t="str">
        <x:v>深度思考</x:v>
      </x:c>
      <x:c r="G44" s="25" t="str">
        <x:v>文心</x:v>
      </x:c>
      <x:c r="H44" s="25" t="str"/>
      <x:c r="I44" s="25" t="str">
        <x:v>否</x:v>
      </x:c>
      <x:c r="J44" s="25"/>
      <x:c r="K44" s="25" t="str"/>
      <x:c r="L44" s="25" t="str"/>
      <x:c r="M44" s="25" t="str"/>
      <x:c r="N44" s="25" t="str"/>
      <x:c r="O44" s="25" t="str"/>
      <x:c r="P44" s="25" t="str"/>
      <x:c r="Q44" s="25" t="str"/>
      <x:c r="R44" s="25" t="str"/>
      <x:c r="S44" s="25" t="str"/>
      <x:c r="T44" s="25" t="str"/>
      <x:c r="U44" s="25" t="str">
        <x:v>GEO 1.0 (1).xlsx</x:v>
      </x:c>
      <x:c r="V44" s="25" t="str"/>
    </x:row>
    <x:row r="45" ht="32" customHeight="1">
      <x:c r="A45" s="25" t="str">
        <x:v>R1</x:v>
      </x:c>
      <x:c r="B45" s="26" t="n">
        <x:v>46232.166666666664</x:v>
      </x:c>
      <x:c r="C45" s="25" t="n">
        <x:v>41</x:v>
      </x:c>
      <x:c r="D45" s="25" t="str">
        <x:v>热处理炉节能改造能省多少电</x:v>
      </x:c>
      <x:c r="E45" s="25" t="str">
        <x:v>非品牌词</x:v>
      </x:c>
      <x:c r="F45" s="25" t="str">
        <x:v>深度思考</x:v>
      </x:c>
      <x:c r="G45" s="25" t="str">
        <x:v>豆包</x:v>
      </x:c>
      <x:c r="H45" s="25" t="str">
        <x:v>否</x:v>
      </x:c>
      <x:c r="I45" s="25" t="str">
        <x:v>否</x:v>
      </x:c>
      <x:c r="J45" s="25" t="n">
        <x:v>0</x:v>
      </x:c>
      <x:c r="K45" s="25" t="str">
        <x:v>https://m.chinabgao.com/k/rechulilu/72473.html</x:v>
      </x:c>
      <x:c r="L45" s="25" t="str">
        <x:v>https://max.book118.com/html/2025/1123/8102142136010012.shtm</x:v>
      </x:c>
      <x:c r="M45" s="25" t="str">
        <x:v>http://www.jsecoo.com/news/673.html</x:v>
      </x:c>
      <x:c r="N45" s="25" t="str">
        <x:v>https://www.toutiao.com/article/7560953780817183259/?&amp;source=m_redirect</x:v>
      </x:c>
      <x:c r="O45" s="25" t="str">
        <x:v>https://c.m.163.com/news/a/KRJKCLV60550TE65.html</x:v>
      </x:c>
      <x:c r="P45" s="25" t="str">
        <x:v>https://c.m.163.com/news/a/KRJKCLV60550TE65.html</x:v>
      </x:c>
      <x:c r="Q45" s="25" t="str">
        <x:v>http://www.jsecoo.com/news/673.html</x:v>
      </x:c>
      <x:c r="R45" s="25" t="str">
        <x:v>https://max.book118.com/html/2025/1211/8045062022010021.shtm</x:v>
      </x:c>
      <x:c r="S45" s="25" t="str">
        <x:v>https://m.sohu.com/a/1015776924_121275241/</x:v>
      </x:c>
      <x:c r="T45" s="25" t="str">
        <x:v>https://www.163.com/dy/article/KRJKCLV60550TE65.html</x:v>
      </x:c>
      <x:c r="U45" s="25" t="str">
        <x:v>GEO 1.0 (1).xlsx</x:v>
      </x:c>
      <x:c r="V45" s="25" t="str"/>
    </x:row>
    <x:row r="46" ht="32" customHeight="1">
      <x:c r="A46" s="25" t="str">
        <x:v>R1</x:v>
      </x:c>
      <x:c r="B46" s="26" t="n">
        <x:v>46232.166666666664</x:v>
      </x:c>
      <x:c r="C46" s="25" t="n">
        <x:v>42</x:v>
      </x:c>
      <x:c r="D46" s="25" t="str">
        <x:v>热处理炉节能改造能省多少电</x:v>
      </x:c>
      <x:c r="E46" s="25" t="str">
        <x:v>非品牌词</x:v>
      </x:c>
      <x:c r="F46" s="25" t="str">
        <x:v>深度思考</x:v>
      </x:c>
      <x:c r="G46" s="25" t="str">
        <x:v>DeepSeek</x:v>
      </x:c>
      <x:c r="H46" s="25" t="str">
        <x:v>否</x:v>
      </x:c>
      <x:c r="I46" s="25" t="str">
        <x:v>否</x:v>
      </x:c>
      <x:c r="J46" s="25" t="n">
        <x:v>0</x:v>
      </x:c>
      <x:c r="K46" s="25" t="str">
        <x:v>https://ctimes.com.tw/DispNews/cn/%e4%b8%89%e6%98%9f%e7%a7%91%e6%8a%80/%e4%b8%89%e6%98%9f%e7%a7%91%e6%8a%80/2512181950DQ.shtml</x:v>
      </x:c>
      <x:c r="L46" s="25" t="str">
        <x:v>http://ynjn.yn.gov.cn/cnPc/jnzs/8615.html</x:v>
      </x:c>
      <x:c r="M46" s="25" t="str">
        <x:v>http://www.worldmetals.com.cn/viscms/qiyedongtai0275/20260210/270726.html</x:v>
      </x:c>
      <x:c r="N46" s="25" t="str">
        <x:v>https://focus.586.com.tw/2025/12/18/p372184/#main</x:v>
      </x:c>
      <x:c r="O46" s="25" t="str">
        <x:v>http://www.tzyy.com.cn/info/1013/7808.htm</x:v>
      </x:c>
      <x:c r="P46" s="25" t="str">
        <x:v>http://www.gongyetoutiao.com/content/21333.aspx</x:v>
      </x:c>
      <x:c r="Q46" s="25" t="str">
        <x:v>https://wap.cnki.net/touch/web/Journal/Article/CUCW198101008.html</x:v>
      </x:c>
      <x:c r="R46" s="25" t="str">
        <x:v>http://cnnmol.com/Search/ResultView.aspx?conId=IsYf88LHsqI%3d</x:v>
      </x:c>
      <x:c r="S46" s="25" t="str">
        <x:v>https://wap.cnki.net/touch/web/Journal/Article/JZDX200101026.html</x:v>
      </x:c>
      <x:c r="T46" s="25" t="str">
        <x:v>http://www.tynews.com.cn/system/2023/09/12/030655748.shtml</x:v>
      </x:c>
      <x:c r="U46" s="25" t="str">
        <x:v>GEO 1.0 (1).xlsx</x:v>
      </x:c>
      <x:c r="V46" s="25" t="str"/>
    </x:row>
    <x:row r="47" ht="32" customHeight="1">
      <x:c r="A47" s="25" t="str">
        <x:v>R1</x:v>
      </x:c>
      <x:c r="B47" s="26" t="n">
        <x:v>46232.166666666664</x:v>
      </x:c>
      <x:c r="C47" s="25" t="n">
        <x:v>43</x:v>
      </x:c>
      <x:c r="D47" s="25" t="str">
        <x:v>热处理炉节能改造能省多少电</x:v>
      </x:c>
      <x:c r="E47" s="25" t="str">
        <x:v>非品牌词</x:v>
      </x:c>
      <x:c r="F47" s="25" t="str">
        <x:v>深度思考</x:v>
      </x:c>
      <x:c r="G47" s="25" t="str">
        <x:v>元宝</x:v>
      </x:c>
      <x:c r="H47" s="25" t="str">
        <x:v>否</x:v>
      </x:c>
      <x:c r="I47" s="25" t="str">
        <x:v>否</x:v>
      </x:c>
      <x:c r="J47" s="25" t="n">
        <x:v>0</x:v>
      </x:c>
      <x:c r="K47" s="25" t="str">
        <x:v>https://www.cinn.cn/p/161459.html</x:v>
      </x:c>
      <x:c r="L47" s="25" t="str">
        <x:v>https://baike.baidu.com/item/%E8%8A%82%E8%83%BD%E7%82%89%E8%A1%AC/21510874</x:v>
      </x:c>
      <x:c r="M47" s="25" t="str">
        <x:v>https://www.docin.com/touch_new/preview_new.do?id=1514393050</x:v>
      </x:c>
      <x:c r="N47" s="25" t="str">
        <x:v>http://xianzhoudianlu.com/newsinfo/336.html</x:v>
      </x:c>
      <x:c r="O47" s="25" t="str">
        <x:v>https://baike.baidu.com/item/%E8%8A%82%E8%83%BD%E7%82%89%E8%A1%AC/21510874</x:v>
      </x:c>
      <x:c r="P47" s="25" t="str">
        <x:v>https://gzw.huangshi.gov.cn/yqsqhz/202604/t20260407_1318998.html</x:v>
      </x:c>
      <x:c r="Q47" s="25" t="str">
        <x:v>http://ynjn.yn.gov.cn/cnPc/jnzs/8615.html</x:v>
      </x:c>
      <x:c r="R47" s="25" t="str">
        <x:v>https://cn.chinadaily.com.cn/a/202605/08/WS69fd9f32a310942cc49ab42c.html</x:v>
      </x:c>
      <x:c r="S47" s="25" t="str">
        <x:v>https://www.cinn.cn/hz/2026/05-09/K18xgXw1.html</x:v>
      </x:c>
      <x:c r="T47" s="25" t="str">
        <x:v>https://www.daido.co.jp/products/machinery/lineup/heat/iasa.html</x:v>
      </x:c>
      <x:c r="U47" s="25" t="str">
        <x:v>GEO 1.0 (1).xlsx</x:v>
      </x:c>
      <x:c r="V47" s="25" t="str"/>
    </x:row>
    <x:row r="48" ht="32" customHeight="1">
      <x:c r="A48" s="25" t="str">
        <x:v>R1</x:v>
      </x:c>
      <x:c r="B48" s="26" t="n">
        <x:v>46232.166666666664</x:v>
      </x:c>
      <x:c r="C48" s="25" t="n">
        <x:v>44</x:v>
      </x:c>
      <x:c r="D48" s="25" t="str">
        <x:v>热处理炉节能改造能省多少电</x:v>
      </x:c>
      <x:c r="E48" s="25" t="str">
        <x:v>非品牌词</x:v>
      </x:c>
      <x:c r="F48" s="25" t="str">
        <x:v>深度思考</x:v>
      </x:c>
      <x:c r="G48" s="25" t="str">
        <x:v>通义</x:v>
      </x:c>
      <x:c r="H48" s="25" t="str"/>
      <x:c r="I48" s="25" t="str">
        <x:v>否</x:v>
      </x:c>
      <x:c r="J48" s="25"/>
      <x:c r="K48" s="25" t="str"/>
      <x:c r="L48" s="25" t="str"/>
      <x:c r="M48" s="25" t="str"/>
      <x:c r="N48" s="25" t="str"/>
      <x:c r="O48" s="25" t="str"/>
      <x:c r="P48" s="25" t="str"/>
      <x:c r="Q48" s="25" t="str"/>
      <x:c r="R48" s="25" t="str"/>
      <x:c r="S48" s="25" t="str"/>
      <x:c r="T48" s="25" t="str"/>
      <x:c r="U48" s="25" t="str">
        <x:v>GEO 1.0 (1).xlsx</x:v>
      </x:c>
      <x:c r="V48" s="25" t="str"/>
    </x:row>
    <x:row r="49" ht="32" customHeight="1">
      <x:c r="A49" s="25" t="str">
        <x:v>R1</x:v>
      </x:c>
      <x:c r="B49" s="26" t="n">
        <x:v>46232.166666666664</x:v>
      </x:c>
      <x:c r="C49" s="25" t="n">
        <x:v>45</x:v>
      </x:c>
      <x:c r="D49" s="25" t="str">
        <x:v>热处理炉节能改造能省多少电</x:v>
      </x:c>
      <x:c r="E49" s="25" t="str">
        <x:v>非品牌词</x:v>
      </x:c>
      <x:c r="F49" s="25" t="str">
        <x:v>深度思考</x:v>
      </x:c>
      <x:c r="G49" s="25" t="str">
        <x:v>文心</x:v>
      </x:c>
      <x:c r="H49" s="25" t="str"/>
      <x:c r="I49" s="25" t="str">
        <x:v>否</x:v>
      </x:c>
      <x:c r="J49" s="25"/>
      <x:c r="K49" s="25" t="str"/>
      <x:c r="L49" s="25" t="str"/>
      <x:c r="M49" s="25" t="str"/>
      <x:c r="N49" s="25" t="str"/>
      <x:c r="O49" s="25" t="str"/>
      <x:c r="P49" s="25" t="str"/>
      <x:c r="Q49" s="25" t="str"/>
      <x:c r="R49" s="25" t="str"/>
      <x:c r="S49" s="25" t="str"/>
      <x:c r="T49" s="25" t="str"/>
      <x:c r="U49" s="25" t="str">
        <x:v>GEO 1.0 (1).xlsx</x:v>
      </x:c>
      <x:c r="V49" s="25" t="str"/>
    </x:row>
    <x:row r="50" ht="32" customHeight="1">
      <x:c r="A50" s="25" t="str">
        <x:v>R1</x:v>
      </x:c>
      <x:c r="B50" s="26" t="n">
        <x:v>46232.166666666664</x:v>
      </x:c>
      <x:c r="C50" s="25" t="n">
        <x:v>46</x:v>
      </x:c>
      <x:c r="D50" s="25" t="str">
        <x:v>工业炉改造验收看哪些指标</x:v>
      </x:c>
      <x:c r="E50" s="25" t="str">
        <x:v>非品牌词</x:v>
      </x:c>
      <x:c r="F50" s="25" t="str">
        <x:v>深度思考</x:v>
      </x:c>
      <x:c r="G50" s="25" t="str">
        <x:v>豆包</x:v>
      </x:c>
      <x:c r="H50" s="25" t="str">
        <x:v>否</x:v>
      </x:c>
      <x:c r="I50" s="25" t="str">
        <x:v>否</x:v>
      </x:c>
      <x:c r="J50" s="25" t="n">
        <x:v>0</x:v>
      </x:c>
      <x:c r="K50" s="25" t="str"/>
      <x:c r="L50" s="25" t="str"/>
      <x:c r="M50" s="25" t="str"/>
      <x:c r="N50" s="25" t="str"/>
      <x:c r="O50" s="25" t="str"/>
      <x:c r="P50" s="25" t="str"/>
      <x:c r="Q50" s="25" t="str"/>
      <x:c r="R50" s="25" t="str"/>
      <x:c r="S50" s="25" t="str"/>
      <x:c r="T50" s="25" t="str"/>
      <x:c r="U50" s="25" t="str">
        <x:v>GEO 1.0 (1).xlsx</x:v>
      </x:c>
      <x:c r="V50" s="25" t="str"/>
    </x:row>
    <x:row r="51" ht="32" customHeight="1">
      <x:c r="A51" s="25" t="str">
        <x:v>R1</x:v>
      </x:c>
      <x:c r="B51" s="26" t="n">
        <x:v>46232.166666666664</x:v>
      </x:c>
      <x:c r="C51" s="25" t="n">
        <x:v>47</x:v>
      </x:c>
      <x:c r="D51" s="25" t="str">
        <x:v>工业炉改造验收看哪些指标</x:v>
      </x:c>
      <x:c r="E51" s="25" t="str">
        <x:v>非品牌词</x:v>
      </x:c>
      <x:c r="F51" s="25" t="str">
        <x:v>深度思考</x:v>
      </x:c>
      <x:c r="G51" s="25" t="str">
        <x:v>DeepSeek</x:v>
      </x:c>
      <x:c r="H51" s="25" t="str">
        <x:v>否</x:v>
      </x:c>
      <x:c r="I51" s="25" t="str">
        <x:v>否</x:v>
      </x:c>
      <x:c r="J51" s="25" t="n">
        <x:v>0</x:v>
      </x:c>
      <x:c r="K51" s="25" t="str">
        <x:v>https://fzzjz.com/Index/Index/Article?InfoID=510</x:v>
      </x:c>
      <x:c r="L51" s="25" t="str">
        <x:v>https://ebook.chinabuilding.com.cn/zbooklib/book/detail/show?SiteID=1&amp;bookID=59296</x:v>
      </x:c>
      <x:c r="M51" s="25" t="str">
        <x:v>https://ebook.chinabuilding.com.cn/c/2017-11-01/60844.shtml</x:v>
      </x:c>
      <x:c r="N51" s="25" t="str">
        <x:v>http://www1.csres.com/notice/49022.html</x:v>
      </x:c>
      <x:c r="O51" s="25" t="str">
        <x:v>https://www.mohurd.gov.cn/gongkai/zhengce/zhengcefilelib/201709/20170927_236713.html</x:v>
      </x:c>
      <x:c r="P51" s="25" t="str">
        <x:v>http://www.bjgczl.com.cn/StaticPage/newscontent_1174.html</x:v>
      </x:c>
      <x:c r="Q51" s="25" t="str">
        <x:v>https://ebook.chinabuilding.com.cn/zbooklib/book/detail/show?SiteID=1&amp;bookID=104070</x:v>
      </x:c>
      <x:c r="R51" s="25" t="str">
        <x:v>http://www.analysis.org.cn/standards/details/170924</x:v>
      </x:c>
      <x:c r="S51" s="25" t="str">
        <x:v>https://wap.miit.gov.cn/cms_files/filemanager/1226211233/attach/20243/5af828b3983247afaa33b8848146d28b.pdf#3#1</x:v>
      </x:c>
      <x:c r="T51" s="25" t="str">
        <x:v>http://scjgj.zhuzhou.gov.cn/c13751/20190521/i890006.html</x:v>
      </x:c>
      <x:c r="U51" s="25" t="str">
        <x:v>GEO 1.0 (1).xlsx</x:v>
      </x:c>
      <x:c r="V51" s="25" t="str"/>
    </x:row>
    <x:row r="52" ht="32" customHeight="1">
      <x:c r="A52" s="25" t="str">
        <x:v>R1</x:v>
      </x:c>
      <x:c r="B52" s="26" t="n">
        <x:v>46232.166666666664</x:v>
      </x:c>
      <x:c r="C52" s="25" t="n">
        <x:v>48</x:v>
      </x:c>
      <x:c r="D52" s="25" t="str">
        <x:v>工业炉改造验收看哪些指标</x:v>
      </x:c>
      <x:c r="E52" s="25" t="str">
        <x:v>非品牌词</x:v>
      </x:c>
      <x:c r="F52" s="25" t="str">
        <x:v>深度思考</x:v>
      </x:c>
      <x:c r="G52" s="25" t="str">
        <x:v>元宝</x:v>
      </x:c>
      <x:c r="H52" s="25" t="str">
        <x:v>否</x:v>
      </x:c>
      <x:c r="I52" s="25" t="str">
        <x:v>否</x:v>
      </x:c>
      <x:c r="J52" s="25" t="n">
        <x:v>0</x:v>
      </x:c>
      <x:c r="K52" s="25" t="str">
        <x:v>https://www.jixiemuye.com/zhidaowenda-9/article-8682.html</x:v>
      </x:c>
      <x:c r="L52" s="25" t="str">
        <x:v>https://www.qilaijian.com/zishi/160145.html</x:v>
      </x:c>
      <x:c r="M52" s="25" t="str">
        <x:v>https://mp.weixin.qq.com/s?src=11&amp;timestamp=1779933918&amp;ver=6747&amp;signature=NcQ-0tEKoiMwCJwUHSwSwCwYCwi2bE2tCcLah4L92sGshk0tMCp-kHf7fXC-IjvlKkBz8bdH*LJauS3800rnXGAXEixs6mLV5FUomi8Yq6UjJcX79vMb0y5eDPf7V5jA&amp;new=1</x:v>
      </x:c>
      <x:c r="N52" s="25" t="str">
        <x:v>https://bbs.plcjs.com/thread-589698-1-1.html</x:v>
      </x:c>
      <x:c r="O52" s="25" t="str">
        <x:v>https://bbs.plcjs.com/thread-589698-1-1.html</x:v>
      </x:c>
      <x:c r="P52" s="25" t="str">
        <x:v>https://xkt58.com/s005news/10453</x:v>
      </x:c>
      <x:c r="Q52" s="25" t="str">
        <x:v>https://xkt58.com/s005news/10453</x:v>
      </x:c>
      <x:c r="R52" s="25" t="str">
        <x:v>https://std.samr.gov.cn/dcpspTools/gbPlan/download?path=%2Fzxd%2F2023002803%2F20_%E6%A0%87%E5%87%86%E8%B5%B7%E8%8D%89%2F20_WD_2023002803_%E5%B7%A5%E4%B8%9A%E9%94%85%E7%82%89%E7%BB%8F%E6%B5%8E%E8%BF%90%E8%A1%8C.pdf</x:v>
      </x:c>
      <x:c r="S52" s="25" t="str">
        <x:v>https://openstd.samr.gov.cn/bzgk/std/newGbInfo?hcno=0FC2CCCD1F76B48AFABC4EF65014E3E7</x:v>
      </x:c>
      <x:c r="T52" s="25" t="str">
        <x:v>http://www.sdaixier.com/xinwen/bk/show371.html</x:v>
      </x:c>
      <x:c r="U52" s="25" t="str">
        <x:v>GEO 1.0 (1).xlsx</x:v>
      </x:c>
      <x:c r="V52" s="25" t="str"/>
    </x:row>
    <x:row r="53" ht="32" customHeight="1">
      <x:c r="A53" s="25" t="str">
        <x:v>R1</x:v>
      </x:c>
      <x:c r="B53" s="26" t="n">
        <x:v>46232.166666666664</x:v>
      </x:c>
      <x:c r="C53" s="25" t="n">
        <x:v>49</x:v>
      </x:c>
      <x:c r="D53" s="25" t="str">
        <x:v>工业炉改造验收看哪些指标</x:v>
      </x:c>
      <x:c r="E53" s="25" t="str">
        <x:v>非品牌词</x:v>
      </x:c>
      <x:c r="F53" s="25" t="str">
        <x:v>深度思考</x:v>
      </x:c>
      <x:c r="G53" s="25" t="str">
        <x:v>通义</x:v>
      </x:c>
      <x:c r="H53" s="25" t="str"/>
      <x:c r="I53" s="25" t="str">
        <x:v>否</x:v>
      </x:c>
      <x:c r="J53" s="25"/>
      <x:c r="K53" s="25" t="str"/>
      <x:c r="L53" s="25" t="str"/>
      <x:c r="M53" s="25" t="str"/>
      <x:c r="N53" s="25" t="str"/>
      <x:c r="O53" s="25" t="str"/>
      <x:c r="P53" s="25" t="str"/>
      <x:c r="Q53" s="25" t="str"/>
      <x:c r="R53" s="25" t="str"/>
      <x:c r="S53" s="25" t="str"/>
      <x:c r="T53" s="25" t="str"/>
      <x:c r="U53" s="25" t="str">
        <x:v>GEO 1.0 (1).xlsx</x:v>
      </x:c>
      <x:c r="V53" s="25" t="str"/>
    </x:row>
    <x:row r="54" ht="32" customHeight="1">
      <x:c r="A54" s="25" t="str">
        <x:v>R1</x:v>
      </x:c>
      <x:c r="B54" s="26" t="n">
        <x:v>46232.166666666664</x:v>
      </x:c>
      <x:c r="C54" s="25" t="n">
        <x:v>50</x:v>
      </x:c>
      <x:c r="D54" s="25" t="str">
        <x:v>工业炉改造验收看哪些指标</x:v>
      </x:c>
      <x:c r="E54" s="25" t="str">
        <x:v>非品牌词</x:v>
      </x:c>
      <x:c r="F54" s="25" t="str">
        <x:v>深度思考</x:v>
      </x:c>
      <x:c r="G54" s="25" t="str">
        <x:v>文心</x:v>
      </x:c>
      <x:c r="H54" s="25" t="str"/>
      <x:c r="I54" s="25" t="str">
        <x:v>否</x:v>
      </x:c>
      <x:c r="J54" s="25"/>
      <x:c r="K54" s="25" t="str"/>
      <x:c r="L54" s="25" t="str"/>
      <x:c r="M54" s="25" t="str"/>
      <x:c r="N54" s="25" t="str"/>
      <x:c r="O54" s="25" t="str"/>
      <x:c r="P54" s="25" t="str"/>
      <x:c r="Q54" s="25" t="str"/>
      <x:c r="R54" s="25" t="str"/>
      <x:c r="S54" s="25" t="str"/>
      <x:c r="T54" s="25" t="str"/>
      <x:c r="U54" s="25" t="str">
        <x:v>GEO 1.0 (1).xlsx</x:v>
      </x:c>
      <x:c r="V54" s="25" t="str"/>
    </x:row>
    <x:row r="55" ht="32" customHeight="1">
      <x:c r="A55" s="25" t="str">
        <x:v>R1</x:v>
      </x:c>
      <x:c r="B55" s="26" t="n">
        <x:v>46232.166666666664</x:v>
      </x:c>
      <x:c r="C55" s="25" t="n">
        <x:v>51</x:v>
      </x:c>
      <x:c r="D55" s="25" t="str">
        <x:v>热处理炉改造周期一般多久</x:v>
      </x:c>
      <x:c r="E55" s="25" t="str">
        <x:v>非品牌词</x:v>
      </x:c>
      <x:c r="F55" s="25" t="str">
        <x:v>深度思考</x:v>
      </x:c>
      <x:c r="G55" s="25" t="str">
        <x:v>豆包</x:v>
      </x:c>
      <x:c r="H55" s="25" t="str">
        <x:v>否</x:v>
      </x:c>
      <x:c r="I55" s="25" t="str">
        <x:v>否</x:v>
      </x:c>
      <x:c r="J55" s="25" t="n">
        <x:v>0</x:v>
      </x:c>
      <x:c r="K55" s="25" t="str">
        <x:v>https://sgdaily.shougang.com.cn/sgrb/2025/08/11/app_75330.html</x:v>
      </x:c>
      <x:c r="L55" s="25" t="str">
        <x:v>https://m.sohu.com/a/997264984_122610410/</x:v>
      </x:c>
      <x:c r="M55" s="25" t="str">
        <x:v>https://www.ceri.com.cn/xwzx/jcyw/202603/t20260318_391236.html</x:v>
      </x:c>
      <x:c r="N55" s="25" t="str">
        <x:v>https://www.ruizeny.com/jienengjishujnzsdetail/20260423459.html</x:v>
      </x:c>
      <x:c r="O55" s="25" t="str">
        <x:v>https://www.mcc-ht.com/tpxw/202202/t20220224_61325.html</x:v>
      </x:c>
      <x:c r="P55" s="25" t="str">
        <x:v>https://www.ceri.com.cn/xwzx/jcyw/202505/t20250530_243422.html</x:v>
      </x:c>
      <x:c r="Q55" s="25" t="str">
        <x:v>https://ipsenglobal.com/zh/knowledge-center/key-considerations-when-planning-to-upgrade-existing-vacuum-furnaces/?__cf_chl_rt_tk=.xtdmHsjwQNh_aS8BFNyx3btvG8vAlVq25dz22KaRIo-1779875282-1.0.1.1-ogcfXgqhaPnXQTFYhkr2bfgBjs2h5N2.ISMqcgZE7eI</x:v>
      </x:c>
      <x:c r="R55" s="25" t="str">
        <x:v>https://max.book118.com/html/2026/0519/8042115032010073.shtm</x:v>
      </x:c>
      <x:c r="S55" s="25" t="str">
        <x:v>m.chem17.com/tech_news/detail/4340308.html</x:v>
      </x:c>
      <x:c r="T55" s="25" t="str">
        <x:v>https://news.sohu.com/a/1012969192_122643542</x:v>
      </x:c>
      <x:c r="U55" s="25" t="str">
        <x:v>GEO 1.0 (1).xlsx</x:v>
      </x:c>
      <x:c r="V55" s="25" t="str"/>
    </x:row>
    <x:row r="56" ht="32" customHeight="1">
      <x:c r="A56" s="25" t="str">
        <x:v>R1</x:v>
      </x:c>
      <x:c r="B56" s="26" t="n">
        <x:v>46232.166666666664</x:v>
      </x:c>
      <x:c r="C56" s="25" t="n">
        <x:v>52</x:v>
      </x:c>
      <x:c r="D56" s="25" t="str">
        <x:v>热处理炉改造周期一般多久</x:v>
      </x:c>
      <x:c r="E56" s="25" t="str">
        <x:v>非品牌词</x:v>
      </x:c>
      <x:c r="F56" s="25" t="str">
        <x:v>深度思考</x:v>
      </x:c>
      <x:c r="G56" s="25" t="str">
        <x:v>DeepSeek</x:v>
      </x:c>
      <x:c r="H56" s="25" t="str">
        <x:v>否</x:v>
      </x:c>
      <x:c r="I56" s="25" t="str">
        <x:v>否</x:v>
      </x:c>
      <x:c r="J56" s="25" t="n">
        <x:v>0</x:v>
      </x:c>
      <x:c r="K56" s="25" t="str">
        <x:v>https://sgdaily.shougang.com.cn/sgrb/2025/08/11/app_75330.html</x:v>
      </x:c>
      <x:c r="L56" s="25" t="str">
        <x:v>https://www.mgwheelaxle.com.cn/news/detail/350568</x:v>
      </x:c>
      <x:c r="M56" s="25" t="str">
        <x:v>http://www.hljtendering.com.cn/newsshow?id=11021</x:v>
      </x:c>
      <x:c r="N56" s="25" t="str">
        <x:v>http://www.365trade.com.cn/zhwzb/751922.jhtml</x:v>
      </x:c>
      <x:c r="O56" s="25" t="str">
        <x:v>https://365trade.com.cn/zhwzb/696664.jhtml</x:v>
      </x:c>
      <x:c r="P56" s="25" t="str">
        <x:v>https://365trade.com.cn/zhwzb/696664.jhtml</x:v>
      </x:c>
      <x:c r="Q56" s="25" t="str">
        <x:v>https://www.hbjmrh.gov.cn/2019/yw/rgdt/qydt/22988.htm</x:v>
      </x:c>
      <x:c r="R56" s="25" t="str">
        <x:v>http://365trade.com.cn/zhwzb/803747.jhtml</x:v>
      </x:c>
      <x:c r="S56" s="25" t="str">
        <x:v>https://baohuabidding.com/shbhgjzb/jyxx/018001/018001001/018001001002/20251021/28fd9973-0c9c-461e-bd55-d19108e154b9.html</x:v>
      </x:c>
      <x:c r="T56" s="25" t="str">
        <x:v>http://www.yangjiang.gov.cn/attachment/0/71/71603/858777.pdf#52#45</x:v>
      </x:c>
      <x:c r="U56" s="25" t="str">
        <x:v>GEO 1.0 (1).xlsx</x:v>
      </x:c>
      <x:c r="V56" s="25" t="str"/>
    </x:row>
    <x:row r="57" ht="32" customHeight="1">
      <x:c r="A57" s="25" t="str">
        <x:v>R1</x:v>
      </x:c>
      <x:c r="B57" s="26" t="n">
        <x:v>46232.166666666664</x:v>
      </x:c>
      <x:c r="C57" s="25" t="n">
        <x:v>53</x:v>
      </x:c>
      <x:c r="D57" s="25" t="str">
        <x:v>热处理炉改造周期一般多久</x:v>
      </x:c>
      <x:c r="E57" s="25" t="str">
        <x:v>非品牌词</x:v>
      </x:c>
      <x:c r="F57" s="25" t="str">
        <x:v>深度思考</x:v>
      </x:c>
      <x:c r="G57" s="25" t="str">
        <x:v>元宝</x:v>
      </x:c>
      <x:c r="H57" s="25" t="str">
        <x:v>否</x:v>
      </x:c>
      <x:c r="I57" s="25" t="str">
        <x:v>否</x:v>
      </x:c>
      <x:c r="J57" s="25" t="n">
        <x:v>0</x:v>
      </x:c>
      <x:c r="K57" s="25" t="str">
        <x:v>https://mp.weixin.qq.com/s?__biz=MjM5MjEzMzMxMA==&amp;mid=2650696625&amp;idx=1&amp;sn=fc7959d1f4e42eed5edf80b7e3576e7a&amp;chksm=bfd29d61b6d352b968e8f188c1b00f2405555d6e06c18a78bf5628526273dc86196239a6e6b4#rd</x:v>
      </x:c>
      <x:c r="L57" s="25" t="str">
        <x:v>http://chts.org.cn/agileframe/ueditor/jsp/upload/20170815/47601502788848490.pdf</x:v>
      </x:c>
      <x:c r="M57" s="25" t="str">
        <x:v>https://www.eceee.org/static/media/uploads/site-2/ecodesign/products/industrial-ovens/annex-b-lifetime-energy.pdf</x:v>
      </x:c>
      <x:c r="N57" s="25" t="str">
        <x:v>https://www.zhiliaobiaoxun.com/detail/479175565b2FAD047D0d.html</x:v>
      </x:c>
      <x:c r="O57" s="25" t="str">
        <x:v>http://www.tclthlcndlcj.com/jishuzixun/149.html</x:v>
      </x:c>
      <x:c r="P57" s="25" t="str">
        <x:v>https://www.prafi.it/services-and-accessories/modernizing-systems-revamping/</x:v>
      </x:c>
      <x:c r="Q57" s="25" t="str">
        <x:v>https://www.jianyu360.cn/nologin/content/SEEY1xrcjI4JyA4Amt0dXUJJSQ4QCFjYXx0Kw4jIz0efGdwAFJUCcI.html</x:v>
      </x:c>
      <x:c r="R57" s="25" t="str">
        <x:v>https://www.ybrcl.com/news/1224.html</x:v>
      </x:c>
      <x:c r="S57" s="25" t="str">
        <x:v>https://www.hbjmrh.gov.cn/xwdt/qydt/985.htm</x:v>
      </x:c>
      <x:c r="T57" s="25" t="str">
        <x:v>https://m.alu.cn/jclc/newsdetail-132358.html</x:v>
      </x:c>
      <x:c r="U57" s="25" t="str">
        <x:v>GEO 1.0 (1).xlsx</x:v>
      </x:c>
      <x:c r="V57" s="25" t="str"/>
    </x:row>
    <x:row r="58" ht="32" customHeight="1">
      <x:c r="A58" s="25" t="str">
        <x:v>R1</x:v>
      </x:c>
      <x:c r="B58" s="26" t="n">
        <x:v>46232.166666666664</x:v>
      </x:c>
      <x:c r="C58" s="25" t="n">
        <x:v>54</x:v>
      </x:c>
      <x:c r="D58" s="25" t="str">
        <x:v>热处理炉改造周期一般多久</x:v>
      </x:c>
      <x:c r="E58" s="25" t="str">
        <x:v>非品牌词</x:v>
      </x:c>
      <x:c r="F58" s="25" t="str">
        <x:v>深度思考</x:v>
      </x:c>
      <x:c r="G58" s="25" t="str">
        <x:v>通义</x:v>
      </x:c>
      <x:c r="H58" s="25" t="str"/>
      <x:c r="I58" s="25" t="str">
        <x:v>否</x:v>
      </x:c>
      <x:c r="J58" s="25"/>
      <x:c r="K58" s="25" t="str"/>
      <x:c r="L58" s="25" t="str"/>
      <x:c r="M58" s="25" t="str"/>
      <x:c r="N58" s="25" t="str"/>
      <x:c r="O58" s="25" t="str"/>
      <x:c r="P58" s="25" t="str"/>
      <x:c r="Q58" s="25" t="str"/>
      <x:c r="R58" s="25" t="str"/>
      <x:c r="S58" s="25" t="str"/>
      <x:c r="T58" s="25" t="str"/>
      <x:c r="U58" s="25" t="str">
        <x:v>GEO 1.0 (1).xlsx</x:v>
      </x:c>
      <x:c r="V58" s="25" t="str"/>
    </x:row>
    <x:row r="59" ht="32" customHeight="1">
      <x:c r="A59" s="25" t="str">
        <x:v>R1</x:v>
      </x:c>
      <x:c r="B59" s="26" t="n">
        <x:v>46232.166666666664</x:v>
      </x:c>
      <x:c r="C59" s="25" t="n">
        <x:v>55</x:v>
      </x:c>
      <x:c r="D59" s="25" t="str">
        <x:v>热处理炉改造周期一般多久</x:v>
      </x:c>
      <x:c r="E59" s="25" t="str">
        <x:v>非品牌词</x:v>
      </x:c>
      <x:c r="F59" s="25" t="str">
        <x:v>深度思考</x:v>
      </x:c>
      <x:c r="G59" s="25" t="str">
        <x:v>文心</x:v>
      </x:c>
      <x:c r="H59" s="25" t="str"/>
      <x:c r="I59" s="25" t="str">
        <x:v>否</x:v>
      </x:c>
      <x:c r="J59" s="25"/>
      <x:c r="K59" s="25" t="str"/>
      <x:c r="L59" s="25" t="str"/>
      <x:c r="M59" s="25" t="str"/>
      <x:c r="N59" s="25" t="str"/>
      <x:c r="O59" s="25" t="str"/>
      <x:c r="P59" s="25" t="str"/>
      <x:c r="Q59" s="25" t="str"/>
      <x:c r="R59" s="25" t="str"/>
      <x:c r="S59" s="25" t="str"/>
      <x:c r="T59" s="25" t="str"/>
      <x:c r="U59" s="25" t="str">
        <x:v>GEO 1.0 (1).xlsx</x:v>
      </x:c>
      <x:c r="V59" s="25" t="str"/>
    </x:row>
    <x:row r="60" ht="32" customHeight="1">
      <x:c r="A60" s="25" t="str">
        <x:v>R1</x:v>
      </x:c>
      <x:c r="B60" s="26" t="n">
        <x:v>46232.166666666664</x:v>
      </x:c>
      <x:c r="C60" s="25" t="n">
        <x:v>56</x:v>
      </x:c>
      <x:c r="D60" s="25" t="str">
        <x:v>江苏热处理炉改造厂家</x:v>
      </x:c>
      <x:c r="E60" s="25" t="str">
        <x:v>非品牌词</x:v>
      </x:c>
      <x:c r="F60" s="25" t="str">
        <x:v>深度思考</x:v>
      </x:c>
      <x:c r="G60" s="25" t="str">
        <x:v>豆包</x:v>
      </x:c>
      <x:c r="H60" s="25" t="str">
        <x:v>否</x:v>
      </x:c>
      <x:c r="I60" s="25" t="str">
        <x:v>否</x:v>
      </x:c>
      <x:c r="J60" s="25" t="n">
        <x:v>0</x:v>
      </x:c>
      <x:c r="K60" s="25" t="str">
        <x:v>https://www.jszyjn.com/</x:v>
      </x:c>
      <x:c r="L60" s="25" t="str">
        <x:v>https://www.fengdong.com/index.htm</x:v>
      </x:c>
      <x:c r="M60" s="25" t="str">
        <x:v>http://www.jsxjnly.cn/company/about.html</x:v>
      </x:c>
      <x:c r="N60" s="25" t="str">
        <x:v>https://www.chinayanxin.com/about/</x:v>
      </x:c>
      <x:c r="O60" s="25" t="str">
        <x:v>https://www.hrdkj.com/about_about/</x:v>
      </x:c>
      <x:c r="P60" s="25" t="str">
        <x:v>http://www.ldqxn.com/flxx/cc263da285115705.html</x:v>
      </x:c>
      <x:c r="Q60" s="25" t="str">
        <x:v>https://it.sohu.com/a/978334393_122569080</x:v>
      </x:c>
      <x:c r="R60" s="25" t="str">
        <x:v>https://m.sohu.com/404.html</x:v>
      </x:c>
      <x:c r="S60" s="25" t="str">
        <x:v>https://m.sohu.com/404.html</x:v>
      </x:c>
      <x:c r="T60" s="25" t="str">
        <x:v>https://www.jmtv.com.cn/folder48/folder514/2025-11-24/Djkc1sPrTok1Zky9.html</x:v>
      </x:c>
      <x:c r="U60" s="25" t="str">
        <x:v>GEO 1.0 (1).xlsx</x:v>
      </x:c>
      <x:c r="V60" s="25" t="str"/>
    </x:row>
    <x:row r="61" ht="32" customHeight="1">
      <x:c r="A61" s="25" t="str">
        <x:v>R1</x:v>
      </x:c>
      <x:c r="B61" s="26" t="n">
        <x:v>46232.166666666664</x:v>
      </x:c>
      <x:c r="C61" s="25" t="n">
        <x:v>57</x:v>
      </x:c>
      <x:c r="D61" s="25" t="str">
        <x:v>江苏热处理炉改造厂家</x:v>
      </x:c>
      <x:c r="E61" s="25" t="str">
        <x:v>非品牌词</x:v>
      </x:c>
      <x:c r="F61" s="25" t="str">
        <x:v>深度思考</x:v>
      </x:c>
      <x:c r="G61" s="25" t="str">
        <x:v>DeepSeek</x:v>
      </x:c>
      <x:c r="H61" s="25" t="str">
        <x:v>否</x:v>
      </x:c>
      <x:c r="I61" s="25" t="str">
        <x:v>否</x:v>
      </x:c>
      <x:c r="J61" s="25" t="n">
        <x:v>0</x:v>
      </x:c>
      <x:c r="K61" s="25" t="str">
        <x:v>https://jggylkj.com/</x:v>
      </x:c>
      <x:c r="L61" s="25" t="str">
        <x:v>http://www.jswely.com/TuiHuoLu/</x:v>
      </x:c>
      <x:c r="M61" s="25" t="str">
        <x:v>https://www.labbase.net/UserCompany/CompanyInfo-61176.html</x:v>
      </x:c>
      <x:c r="N61" s="25" t="str">
        <x:v>https://www.jshxly.com/h-col-108.html</x:v>
      </x:c>
      <x:c r="O61" s="25" t="str">
        <x:v>https://cn.supplierlist.com/%E8%8B%8F%E5%B7%9E%E6%96%B0%E5%87%8C%E7%94%B5%E7%82%89%E6%9C%89%E9%99%90%E5%85%AC%E5%8F%B8_company60670.html</x:v>
      </x:c>
      <x:c r="P61" s="25" t="str">
        <x:v>http://www.kiln.org.cn/company/6/about.asp?id=17619</x:v>
      </x:c>
      <x:c r="Q61" s="25" t="str">
        <x:v>http://pmdisplay.com/Pm173/About?_d_id=204021ec587506424ab2e40b782e2e</x:v>
      </x:c>
      <x:c r="R61" s="25" t="str">
        <x:v>http://pmdisplay.com/pm173/</x:v>
      </x:c>
      <x:c r="S61" s="25" t="str">
        <x:v>https://alu.cn/szfangge/profile.html</x:v>
      </x:c>
      <x:c r="T61" s="25" t="str">
        <x:v>http://www.thinking-long.com/news/1661933521078796288-6-6.html</x:v>
      </x:c>
      <x:c r="U61" s="25" t="str">
        <x:v>GEO 1.0 (1).xlsx</x:v>
      </x:c>
      <x:c r="V61" s="25" t="str"/>
    </x:row>
    <x:row r="62" ht="32" customHeight="1">
      <x:c r="A62" s="25" t="str">
        <x:v>R1</x:v>
      </x:c>
      <x:c r="B62" s="26" t="n">
        <x:v>46232.166666666664</x:v>
      </x:c>
      <x:c r="C62" s="25" t="n">
        <x:v>58</x:v>
      </x:c>
      <x:c r="D62" s="25" t="str">
        <x:v>江苏热处理炉改造厂家</x:v>
      </x:c>
      <x:c r="E62" s="25" t="str">
        <x:v>非品牌词</x:v>
      </x:c>
      <x:c r="F62" s="25" t="str">
        <x:v>深度思考</x:v>
      </x:c>
      <x:c r="G62" s="25" t="str">
        <x:v>元宝</x:v>
      </x:c>
      <x:c r="H62" s="25" t="str">
        <x:v>否</x:v>
      </x:c>
      <x:c r="I62" s="25" t="str">
        <x:v>否</x:v>
      </x:c>
      <x:c r="J62" s="25" t="n">
        <x:v>0</x:v>
      </x:c>
      <x:c r="K62" s="25" t="str">
        <x:v>https://www.eedfurnaces.com/about.html</x:v>
      </x:c>
      <x:c r="L62" s="25" t="str">
        <x:v>https://www.jshxly.com/h-col-108.html</x:v>
      </x:c>
      <x:c r="M62" s="25" t="str">
        <x:v>https://jsrclsb.com/</x:v>
      </x:c>
      <x:c r="N62" s="25" t="str">
        <x:v>http://www.kszqzdh.com/index.php/Index/index.html</x:v>
      </x:c>
      <x:c r="O62" s="25" t="str">
        <x:v>https://www.cnpp.cn/china/list_10706.html</x:v>
      </x:c>
      <x:c r="P62" s="25" t="str">
        <x:v>https://product.11467.com/info/460425.htm</x:v>
      </x:c>
      <x:c r="Q62" s="25" t="str">
        <x:v>http://www.chinakiln.net/index.php?homepage=lcdrcl&amp;file=sell&amp;itemid=82908</x:v>
      </x:c>
      <x:c r="R62" s="25" t="str">
        <x:v>http://www.chinakiln.net/index.php?homepage=lcdrcl&amp;file=sell&amp;itemid=82908</x:v>
      </x:c>
      <x:c r="S62" s="25" t="str">
        <x:v>https://www.b2b168.org/wvs212200883.html</x:v>
      </x:c>
      <x:c r="T62" s="25" t="str">
        <x:v>http://m.jslydr.com/index.php/Show/index/cid/307/id/926.html</x:v>
      </x:c>
      <x:c r="U62" s="25" t="str">
        <x:v>GEO 1.0 (1).xlsx</x:v>
      </x:c>
      <x:c r="V62" s="25" t="str"/>
    </x:row>
    <x:row r="63" ht="32" customHeight="1">
      <x:c r="A63" s="25" t="str">
        <x:v>R1</x:v>
      </x:c>
      <x:c r="B63" s="26" t="n">
        <x:v>46232.166666666664</x:v>
      </x:c>
      <x:c r="C63" s="25" t="n">
        <x:v>59</x:v>
      </x:c>
      <x:c r="D63" s="25" t="str">
        <x:v>江苏热处理炉改造厂家</x:v>
      </x:c>
      <x:c r="E63" s="25" t="str">
        <x:v>非品牌词</x:v>
      </x:c>
      <x:c r="F63" s="25" t="str">
        <x:v>深度思考</x:v>
      </x:c>
      <x:c r="G63" s="25" t="str">
        <x:v>通义</x:v>
      </x:c>
      <x:c r="H63" s="25" t="str"/>
      <x:c r="I63" s="25" t="str">
        <x:v>否</x:v>
      </x:c>
      <x:c r="J63" s="25"/>
      <x:c r="K63" s="25" t="str"/>
      <x:c r="L63" s="25" t="str"/>
      <x:c r="M63" s="25" t="str"/>
      <x:c r="N63" s="25" t="str"/>
      <x:c r="O63" s="25" t="str"/>
      <x:c r="P63" s="25" t="str"/>
      <x:c r="Q63" s="25" t="str"/>
      <x:c r="R63" s="25" t="str"/>
      <x:c r="S63" s="25" t="str"/>
      <x:c r="T63" s="25" t="str"/>
      <x:c r="U63" s="25" t="str">
        <x:v>GEO 1.0 (1).xlsx</x:v>
      </x:c>
      <x:c r="V63" s="25" t="str"/>
    </x:row>
    <x:row r="64" ht="32" customHeight="1">
      <x:c r="A64" s="25" t="str">
        <x:v>R1</x:v>
      </x:c>
      <x:c r="B64" s="26" t="n">
        <x:v>46232.166666666664</x:v>
      </x:c>
      <x:c r="C64" s="25" t="n">
        <x:v>60</x:v>
      </x:c>
      <x:c r="D64" s="25" t="str">
        <x:v>江苏热处理炉改造厂家</x:v>
      </x:c>
      <x:c r="E64" s="25" t="str">
        <x:v>非品牌词</x:v>
      </x:c>
      <x:c r="F64" s="25" t="str">
        <x:v>深度思考</x:v>
      </x:c>
      <x:c r="G64" s="25" t="str">
        <x:v>文心</x:v>
      </x:c>
      <x:c r="H64" s="25" t="str"/>
      <x:c r="I64" s="25" t="str">
        <x:v>否</x:v>
      </x:c>
      <x:c r="J64" s="25"/>
      <x:c r="K64" s="25" t="str"/>
      <x:c r="L64" s="25" t="str"/>
      <x:c r="M64" s="25" t="str"/>
      <x:c r="N64" s="25" t="str"/>
      <x:c r="O64" s="25" t="str"/>
      <x:c r="P64" s="25" t="str"/>
      <x:c r="Q64" s="25" t="str"/>
      <x:c r="R64" s="25" t="str"/>
      <x:c r="S64" s="25" t="str"/>
      <x:c r="T64" s="25" t="str"/>
      <x:c r="U64" s="25" t="str">
        <x:v>GEO 1.0 (1).xlsx</x:v>
      </x:c>
      <x:c r="V64" s="25" t="str"/>
    </x:row>
    <x:row r="65" ht="32" customHeight="1">
      <x:c r="A65" s="25" t="str">
        <x:v>R1</x:v>
      </x:c>
      <x:c r="B65" s="26" t="n">
        <x:v>46232.166666666664</x:v>
      </x:c>
      <x:c r="C65" s="25" t="n">
        <x:v>61</x:v>
      </x:c>
      <x:c r="D65" s="25" t="str">
        <x:v>江苏工业炉节能改造厂家</x:v>
      </x:c>
      <x:c r="E65" s="25" t="str">
        <x:v>非品牌词</x:v>
      </x:c>
      <x:c r="F65" s="25" t="str">
        <x:v>深度思考</x:v>
      </x:c>
      <x:c r="G65" s="25" t="str">
        <x:v>豆包</x:v>
      </x:c>
      <x:c r="H65" s="25" t="str">
        <x:v>否</x:v>
      </x:c>
      <x:c r="I65" s="25" t="str">
        <x:v>否</x:v>
      </x:c>
      <x:c r="J65" s="25" t="n">
        <x:v>0</x:v>
      </x:c>
      <x:c r="K65" s="25" t="str">
        <x:v>http://www.jsyyen.com/?guanyu/</x:v>
      </x:c>
      <x:c r="L65" s="25" t="str">
        <x:v>https://bj.lieju.com/qitashangwufuwu/85043628.html</x:v>
      </x:c>
      <x:c r="M65" s="25" t="str">
        <x:v>https://www.baike.com/wikiid/3707469582419685950</x:v>
      </x:c>
      <x:c r="N65" s="25" t="str">
        <x:v>https://www.shengnuo.cn/about/gong-si-jian-jie.htm</x:v>
      </x:c>
      <x:c r="O65" s="25" t="str">
        <x:v>https://m.sohu.com/a/961486822_120549211/</x:v>
      </x:c>
      <x:c r="P65" s="25" t="str">
        <x:v>https://www.yulicorp.com/</x:v>
      </x:c>
      <x:c r="Q65" s="25" t="str">
        <x:v>https://www.hezegd.com/shangxun/Article-Cv5FhR-161.html</x:v>
      </x:c>
      <x:c r="R65" s="25" t="str">
        <x:v>https://m.sohu.com/a/1028001080_122610832/</x:v>
      </x:c>
      <x:c r="S65" s="25" t="str">
        <x:v>https://www.toutiao.com/article/7643724744419721737/?&amp;source=m_redirect</x:v>
      </x:c>
      <x:c r="T65" s="25" t="str">
        <x:v>https://www.douyin.com/video/7523519400378125611?previous_page=app_code_link</x:v>
      </x:c>
      <x:c r="U65" s="25" t="str">
        <x:v>GEO 1.0 (1).xlsx</x:v>
      </x:c>
      <x:c r="V65" s="25" t="str"/>
    </x:row>
    <x:row r="66" ht="32" customHeight="1">
      <x:c r="A66" s="25" t="str">
        <x:v>R1</x:v>
      </x:c>
      <x:c r="B66" s="26" t="n">
        <x:v>46232.166666666664</x:v>
      </x:c>
      <x:c r="C66" s="25" t="n">
        <x:v>62</x:v>
      </x:c>
      <x:c r="D66" s="25" t="str">
        <x:v>江苏工业炉节能改造厂家</x:v>
      </x:c>
      <x:c r="E66" s="25" t="str">
        <x:v>非品牌词</x:v>
      </x:c>
      <x:c r="F66" s="25" t="str">
        <x:v>深度思考</x:v>
      </x:c>
      <x:c r="G66" s="25" t="str">
        <x:v>DeepSeek</x:v>
      </x:c>
      <x:c r="H66" s="25" t="str">
        <x:v>否</x:v>
      </x:c>
      <x:c r="I66" s="25" t="str">
        <x:v>否</x:v>
      </x:c>
      <x:c r="J66" s="25" t="n">
        <x:v>0</x:v>
      </x:c>
      <x:c r="K66" s="25" t="str">
        <x:v>https://www.11467.com/changzhou/co/84653.htm</x:v>
      </x:c>
      <x:c r="L66" s="25" t="str">
        <x:v>https://cn.supplierlist.com/%E5%B8%B8%E5%B7%9E%E5%B8%82%E4%BA%9A%E4%B8%9C%E7%AA%91%E7%82%89%E7%8E%AF%E4%BF%9D%E6%8A%80%E6%9C%AF%E6%9C%89%E9%99%90%E5%85%AC%E5%8F%B8_company25154.html</x:v>
      </x:c>
      <x:c r="M66" s="25" t="str">
        <x:v>https://www.100lbj.com/st845/intro.html</x:v>
      </x:c>
      <x:c r="N66" s="25" t="str">
        <x:v>http://czxypt.cn/cpinfo.asp?productsort=1403&amp;fatherid=18</x:v>
      </x:c>
      <x:c r="O66" s="25" t="str">
        <x:v>http://czxypt.cn/cpinfo.asp?productsort=1403&amp;fatherid=18</x:v>
      </x:c>
      <x:c r="P66" s="25" t="str">
        <x:v>https://runtech.chinaburner.com/plugin.php?id=aljbd&amp;act=view&amp;bid=1519&amp;op=details</x:v>
      </x:c>
      <x:c r="Q66" s="25" t="str">
        <x:v>https://www.huangye88.com/city8990/2481246.html</x:v>
      </x:c>
      <x:c r="R66" s="25" t="str">
        <x:v>http://www.huangye88.com/city8990/639437.html</x:v>
      </x:c>
      <x:c r="S66" s="25" t="str">
        <x:v>https://www.china-mcc.com/prod_show-147432.html</x:v>
      </x:c>
      <x:c r="T66" s="25" t="str">
        <x:v>http://www.jsoml.com/news992568.html</x:v>
      </x:c>
      <x:c r="U66" s="25" t="str">
        <x:v>GEO 1.0 (1).xlsx</x:v>
      </x:c>
      <x:c r="V66" s="25" t="str"/>
    </x:row>
    <x:row r="67" ht="32" customHeight="1">
      <x:c r="A67" s="25" t="str">
        <x:v>R1</x:v>
      </x:c>
      <x:c r="B67" s="26" t="n">
        <x:v>46232.166666666664</x:v>
      </x:c>
      <x:c r="C67" s="25" t="n">
        <x:v>63</x:v>
      </x:c>
      <x:c r="D67" s="25" t="str">
        <x:v>江苏工业炉节能改造厂家</x:v>
      </x:c>
      <x:c r="E67" s="25" t="str">
        <x:v>非品牌词</x:v>
      </x:c>
      <x:c r="F67" s="25" t="str">
        <x:v>深度思考</x:v>
      </x:c>
      <x:c r="G67" s="25" t="str">
        <x:v>元宝</x:v>
      </x:c>
      <x:c r="H67" s="25" t="str">
        <x:v>否</x:v>
      </x:c>
      <x:c r="I67" s="25" t="str">
        <x:v>是</x:v>
      </x:c>
      <x:c r="J67" s="25" t="n">
        <x:v>0</x:v>
      </x:c>
      <x:c r="K67" s="25" t="str">
        <x:v>https://www.jssngyl.cn/zh</x:v>
      </x:c>
      <x:c r="L67" s="25" t="str">
        <x:v>https://www.tianyancha.com/company/2345712742</x:v>
      </x:c>
      <x:c r="M67" s="25" t="str">
        <x:v>https://www.yulicorp.com/</x:v>
      </x:c>
      <x:c r="N67" s="25" t="str">
        <x:v>https://www.jssngyl.cn/zh/about</x:v>
      </x:c>
      <x:c r="O67" s="25" t="str">
        <x:v>https://www.pengfei.com.cn/pengfei/Application/jiancaizhuangbei/index.html</x:v>
      </x:c>
      <x:c r="P67" s="25" t="str">
        <x:v>http://www.jiarungyl.com/</x:v>
      </x:c>
      <x:c r="Q67" s="25" t="str">
        <x:v>http://www.jiarungyl.com/</x:v>
      </x:c>
      <x:c r="R67" s="25" t="str">
        <x:v>https://baike.baidu.com/item/%E6%B1%9F%E8%8B%8F%E4%B8%AD%E5%9C%A3%E5%9B%AD%E7%A7%91%E6%8A%80%E8%82%A1%E4%BB%BD%E6%9C%89%E9%99%90%E5%85%AC%E5%8F%B8/20044596</x:v>
      </x:c>
      <x:c r="S67" s="25" t="str">
        <x:v>https://huasu.onwsw.com/introduce/</x:v>
      </x:c>
      <x:c r="T67" s="25" t="str">
        <x:v>https://baike.baidu.com/item/%E6%B1%9F%E8%8B%8F%E5%87%A4%E8%B0%B7%E8%8A%82%E8%83%BD%E7%A7%91%E6%8A%80%E6%9C%89%E9%99%90%E5%85%AC%E5%8F%B8/17642044</x:v>
      </x:c>
      <x:c r="U67" s="25" t="str">
        <x:v>GEO 1.0 (1).xlsx</x:v>
      </x:c>
      <x:c r="V67" s="25" t="str"/>
    </x:row>
    <x:row r="68" ht="32" customHeight="1">
      <x:c r="A68" s="25" t="str">
        <x:v>R1</x:v>
      </x:c>
      <x:c r="B68" s="26" t="n">
        <x:v>46232.166666666664</x:v>
      </x:c>
      <x:c r="C68" s="25" t="n">
        <x:v>64</x:v>
      </x:c>
      <x:c r="D68" s="25" t="str">
        <x:v>江苏工业炉节能改造厂家</x:v>
      </x:c>
      <x:c r="E68" s="25" t="str">
        <x:v>非品牌词</x:v>
      </x:c>
      <x:c r="F68" s="25" t="str">
        <x:v>深度思考</x:v>
      </x:c>
      <x:c r="G68" s="25" t="str">
        <x:v>通义</x:v>
      </x:c>
      <x:c r="H68" s="25" t="str"/>
      <x:c r="I68" s="25" t="str">
        <x:v>否</x:v>
      </x:c>
      <x:c r="J68" s="25"/>
      <x:c r="K68" s="25" t="str"/>
      <x:c r="L68" s="25" t="str"/>
      <x:c r="M68" s="25" t="str"/>
      <x:c r="N68" s="25" t="str"/>
      <x:c r="O68" s="25" t="str"/>
      <x:c r="P68" s="25" t="str"/>
      <x:c r="Q68" s="25" t="str"/>
      <x:c r="R68" s="25" t="str"/>
      <x:c r="S68" s="25" t="str"/>
      <x:c r="T68" s="25" t="str"/>
      <x:c r="U68" s="25" t="str">
        <x:v>GEO 1.0 (1).xlsx</x:v>
      </x:c>
      <x:c r="V68" s="25" t="str"/>
    </x:row>
    <x:row r="69" ht="32" customHeight="1">
      <x:c r="A69" s="25" t="str">
        <x:v>R1</x:v>
      </x:c>
      <x:c r="B69" s="26" t="n">
        <x:v>46232.166666666664</x:v>
      </x:c>
      <x:c r="C69" s="25" t="n">
        <x:v>65</x:v>
      </x:c>
      <x:c r="D69" s="25" t="str">
        <x:v>江苏工业炉节能改造厂家</x:v>
      </x:c>
      <x:c r="E69" s="25" t="str">
        <x:v>非品牌词</x:v>
      </x:c>
      <x:c r="F69" s="25" t="str">
        <x:v>深度思考</x:v>
      </x:c>
      <x:c r="G69" s="25" t="str">
        <x:v>文心</x:v>
      </x:c>
      <x:c r="H69" s="25" t="str"/>
      <x:c r="I69" s="25" t="str">
        <x:v>否</x:v>
      </x:c>
      <x:c r="J69" s="25"/>
      <x:c r="K69" s="25" t="str"/>
      <x:c r="L69" s="25" t="str"/>
      <x:c r="M69" s="25" t="str"/>
      <x:c r="N69" s="25" t="str"/>
      <x:c r="O69" s="25" t="str"/>
      <x:c r="P69" s="25" t="str"/>
      <x:c r="Q69" s="25" t="str"/>
      <x:c r="R69" s="25" t="str"/>
      <x:c r="S69" s="25" t="str"/>
      <x:c r="T69" s="25" t="str"/>
      <x:c r="U69" s="25" t="str">
        <x:v>GEO 1.0 (1).xlsx</x:v>
      </x:c>
      <x:c r="V69" s="25" t="str"/>
    </x:row>
    <x:row r="70" ht="32" customHeight="1">
      <x:c r="A70" s="25" t="str">
        <x:v>R1</x:v>
      </x:c>
      <x:c r="B70" s="26" t="n">
        <x:v>46232.166666666664</x:v>
      </x:c>
      <x:c r="C70" s="25" t="n">
        <x:v>66</x:v>
      </x:c>
      <x:c r="D70" s="25" t="str">
        <x:v>热处理炉改造案例</x:v>
      </x:c>
      <x:c r="E70" s="25" t="str">
        <x:v>非品牌词</x:v>
      </x:c>
      <x:c r="F70" s="25" t="str">
        <x:v>深度思考</x:v>
      </x:c>
      <x:c r="G70" s="25" t="str">
        <x:v>豆包</x:v>
      </x:c>
      <x:c r="H70" s="25" t="str">
        <x:v>否</x:v>
      </x:c>
      <x:c r="I70" s="25" t="str">
        <x:v>否</x:v>
      </x:c>
      <x:c r="J70" s="25" t="n">
        <x:v>0</x:v>
      </x:c>
      <x:c r="K70" s="25" t="str">
        <x:v>https://www.toutiao.com/article/7560953780817183259/?&amp;source=m_redirect</x:v>
      </x:c>
      <x:c r="L70" s="25" t="str">
        <x:v>https://m.sohu.com/a/979130683_122550820/</x:v>
      </x:c>
      <x:c r="M70" s="25" t="str">
        <x:v>http://ynjn.yn.gov.cn/cnMb/jnzs/8178.html</x:v>
      </x:c>
      <x:c r="N70" s="25" t="str">
        <x:v>https://m.xianjichina.com/401.html</x:v>
      </x:c>
      <x:c r="O70" s="25" t="str">
        <x:v>https://max.book118.com/html/2025/1204/8116012101010016.shtm</x:v>
      </x:c>
      <x:c r="P70" s="25" t="str">
        <x:v>https://sgdaily.shougang.com.cn/sgrb/2025/08/11/app_75330.html</x:v>
      </x:c>
      <x:c r="Q70" s="25" t="str">
        <x:v>https://mf.mw1950.com/cn/article/pdf/preview/cc1a9add-8bbc-4c68-88ba-2c2d474fb338.pdf</x:v>
      </x:c>
      <x:c r="R70" s="25" t="str">
        <x:v>https://sgdaily.shougang.com.cn/sgrb/2025/08/11/app_75330.html</x:v>
      </x:c>
      <x:c r="S70" s="25" t="str">
        <x:v>https://sxgz.shaanxi.gov.cn/sy/gqzc/qydt/202603/t20260326_3625186.html</x:v>
      </x:c>
      <x:c r="T70" s="25" t="str">
        <x:v>https://m.sohu.com/a/943526923_313737/</x:v>
      </x:c>
      <x:c r="U70" s="25" t="str">
        <x:v>GEO 1.0 (1).xlsx</x:v>
      </x:c>
      <x:c r="V70" s="25" t="str"/>
    </x:row>
    <x:row r="71" ht="32" customHeight="1">
      <x:c r="A71" s="25" t="str">
        <x:v>R1</x:v>
      </x:c>
      <x:c r="B71" s="26" t="n">
        <x:v>46232.166666666664</x:v>
      </x:c>
      <x:c r="C71" s="25" t="n">
        <x:v>67</x:v>
      </x:c>
      <x:c r="D71" s="25" t="str">
        <x:v>热处理炉改造案例</x:v>
      </x:c>
      <x:c r="E71" s="25" t="str">
        <x:v>非品牌词</x:v>
      </x:c>
      <x:c r="F71" s="25" t="str">
        <x:v>深度思考</x:v>
      </x:c>
      <x:c r="G71" s="25" t="str">
        <x:v>DeepSeek</x:v>
      </x:c>
      <x:c r="H71" s="25" t="str">
        <x:v>否</x:v>
      </x:c>
      <x:c r="I71" s="25" t="str">
        <x:v>否</x:v>
      </x:c>
      <x:c r="J71" s="25" t="n">
        <x:v>0</x:v>
      </x:c>
      <x:c r="K71" s="25" t="str">
        <x:v>https://sgdaily.shougang.com.cn/sgrb/2025/08/11/app_75330.html</x:v>
      </x:c>
      <x:c r="L71" s="25" t="str">
        <x:v>http://www.yyzfw.gov.cn//ueditor/upload/file/20241016/1729048411050011594.pdf#15#6</x:v>
      </x:c>
      <x:c r="M71" s="25" t="str">
        <x:v>http://worldmetals.cn/viscms/xingyeyaowen3686/271332.jhtml</x:v>
      </x:c>
      <x:c r="N71" s="25" t="str">
        <x:v>https://m.steelx2.com/news-content.aspx?id=625235</x:v>
      </x:c>
      <x:c r="O71" s="25" t="str">
        <x:v>http://www.csteelnews.com/xwzx/yjgg/202005/t20200522_32134.html</x:v>
      </x:c>
      <x:c r="P71" s="25" t="str">
        <x:v>http://www.csteelnews.com/qypd/qydt/202306/t20230612_75745.html</x:v>
      </x:c>
      <x:c r="Q71" s="25" t="str">
        <x:v>https://m.mysteel.com/23/0619/11/51F052F3D7426733_abc.html</x:v>
      </x:c>
      <x:c r="R71" s="25" t="str">
        <x:v>https://wap.cnki.net/touch/web/Journal/Article/JCDQ200406022.html</x:v>
      </x:c>
      <x:c r="S71" s="25" t="str">
        <x:v>https://patent.wf.pub/article:CN92111238.6</x:v>
      </x:c>
      <x:c r="T71" s="25" t="str">
        <x:v>https://wap.cnki.net/touch/web/Journal/Article/SJGY200612023.html</x:v>
      </x:c>
      <x:c r="U71" s="25" t="str">
        <x:v>GEO 1.0 (1).xlsx</x:v>
      </x:c>
      <x:c r="V71" s="25" t="str"/>
    </x:row>
    <x:row r="72" ht="32" customHeight="1">
      <x:c r="A72" s="25" t="str">
        <x:v>R1</x:v>
      </x:c>
      <x:c r="B72" s="26" t="n">
        <x:v>46232.166666666664</x:v>
      </x:c>
      <x:c r="C72" s="25" t="n">
        <x:v>68</x:v>
      </x:c>
      <x:c r="D72" s="25" t="str">
        <x:v>热处理炉改造案例</x:v>
      </x:c>
      <x:c r="E72" s="25" t="str">
        <x:v>非品牌词</x:v>
      </x:c>
      <x:c r="F72" s="25" t="str">
        <x:v>深度思考</x:v>
      </x:c>
      <x:c r="G72" s="25" t="str">
        <x:v>元宝</x:v>
      </x:c>
      <x:c r="H72" s="25" t="str">
        <x:v>是</x:v>
      </x:c>
      <x:c r="I72" s="25" t="str">
        <x:v>是</x:v>
      </x:c>
      <x:c r="J72" s="25" t="n">
        <x:v>3</x:v>
      </x:c>
      <x:c r="K72" s="25" t="str">
        <x:v>https://www.jssngyl.cn/zh</x:v>
      </x:c>
      <x:c r="L72" s="25" t="str">
        <x:v>https://industry.haoronglu.com/1495.html</x:v>
      </x:c>
      <x:c r="M72" s="25" t="str">
        <x:v>https://www.b2b168.com/k-dianzulusheji/l-2.html</x:v>
      </x:c>
      <x:c r="N72" s="25" t="str">
        <x:v>http://chinakiln.net/know/201506/19/2160.html</x:v>
      </x:c>
      <x:c r="O72" s="25" t="str">
        <x:v>https://baike.baidu.com/item/%E5%BE%90%E5%B7%9E%E5%A4%A9%E4%B8%80%E7%82%89%E7%AA%91%E5%B7%A5%E7%A8%8B%E6%9C%89%E9%99%90%E5%85%AC%E5%8F%B8/52427234</x:v>
      </x:c>
      <x:c r="P72" s="25" t="str">
        <x:v>http://dianlu163.com/news/524.html</x:v>
      </x:c>
      <x:c r="Q72" s="25" t="str">
        <x:v>http://jxjxysb.chanpin818.com/drsb/gydl/deta_30556483.html</x:v>
      </x:c>
      <x:c r="R72" s="25" t="str">
        <x:v>http://www.jiarungyl.com/</x:v>
      </x:c>
      <x:c r="S72" s="25" t="str">
        <x:v>https://industry.haoronglu.com/1107.html</x:v>
      </x:c>
      <x:c r="T72" s="25" t="str">
        <x:v>https://sgdaily.shougang.com.cn/sgrb/2025/08/11/75330.html</x:v>
      </x:c>
      <x:c r="U72" s="25" t="str">
        <x:v>GEO 1.0 (1).xlsx</x:v>
      </x:c>
      <x:c r="V72" s="25" t="str"/>
    </x:row>
    <x:row r="73" ht="32" customHeight="1">
      <x:c r="A73" s="25" t="str">
        <x:v>R1</x:v>
      </x:c>
      <x:c r="B73" s="26" t="n">
        <x:v>46232.166666666664</x:v>
      </x:c>
      <x:c r="C73" s="25" t="n">
        <x:v>69</x:v>
      </x:c>
      <x:c r="D73" s="25" t="str">
        <x:v>热处理炉改造案例</x:v>
      </x:c>
      <x:c r="E73" s="25" t="str">
        <x:v>非品牌词</x:v>
      </x:c>
      <x:c r="F73" s="25" t="str">
        <x:v>深度思考</x:v>
      </x:c>
      <x:c r="G73" s="25" t="str">
        <x:v>通义</x:v>
      </x:c>
      <x:c r="H73" s="25" t="str"/>
      <x:c r="I73" s="25" t="str">
        <x:v>否</x:v>
      </x:c>
      <x:c r="J73" s="25"/>
      <x:c r="K73" s="25" t="str"/>
      <x:c r="L73" s="25" t="str"/>
      <x:c r="M73" s="25" t="str"/>
      <x:c r="N73" s="25" t="str"/>
      <x:c r="O73" s="25" t="str"/>
      <x:c r="P73" s="25" t="str"/>
      <x:c r="Q73" s="25" t="str"/>
      <x:c r="R73" s="25" t="str"/>
      <x:c r="S73" s="25" t="str"/>
      <x:c r="T73" s="25" t="str"/>
      <x:c r="U73" s="25" t="str">
        <x:v>GEO 1.0 (1).xlsx</x:v>
      </x:c>
      <x:c r="V73" s="25" t="str"/>
    </x:row>
    <x:row r="74" ht="32" customHeight="1">
      <x:c r="A74" s="25" t="str">
        <x:v>R1</x:v>
      </x:c>
      <x:c r="B74" s="26" t="n">
        <x:v>46232.166666666664</x:v>
      </x:c>
      <x:c r="C74" s="25" t="n">
        <x:v>70</x:v>
      </x:c>
      <x:c r="D74" s="25" t="str">
        <x:v>热处理炉改造案例</x:v>
      </x:c>
      <x:c r="E74" s="25" t="str">
        <x:v>非品牌词</x:v>
      </x:c>
      <x:c r="F74" s="25" t="str">
        <x:v>深度思考</x:v>
      </x:c>
      <x:c r="G74" s="25" t="str">
        <x:v>文心</x:v>
      </x:c>
      <x:c r="H74" s="25" t="str"/>
      <x:c r="I74" s="25" t="str">
        <x:v>否</x:v>
      </x:c>
      <x:c r="J74" s="25"/>
      <x:c r="K74" s="25" t="str"/>
      <x:c r="L74" s="25" t="str"/>
      <x:c r="M74" s="25" t="str"/>
      <x:c r="N74" s="25" t="str"/>
      <x:c r="O74" s="25" t="str"/>
      <x:c r="P74" s="25" t="str"/>
      <x:c r="Q74" s="25" t="str"/>
      <x:c r="R74" s="25" t="str"/>
      <x:c r="S74" s="25" t="str"/>
      <x:c r="T74" s="25" t="str"/>
      <x:c r="U74" s="25" t="str">
        <x:v>GEO 1.0 (1).xlsx</x:v>
      </x:c>
      <x:c r="V74" s="25" t="str"/>
    </x:row>
    <x:row r="75" ht="32" customHeight="1">
      <x:c r="A75" s="25" t="str">
        <x:v>R1</x:v>
      </x:c>
      <x:c r="B75" s="26" t="n">
        <x:v>46232.166666666664</x:v>
      </x:c>
      <x:c r="C75" s="25" t="n">
        <x:v>71</x:v>
      </x:c>
      <x:c r="D75" s="25" t="str">
        <x:v>工业炉售后改造服务厂家</x:v>
      </x:c>
      <x:c r="E75" s="25" t="str">
        <x:v>非品牌词</x:v>
      </x:c>
      <x:c r="F75" s="25" t="str">
        <x:v>深度思考</x:v>
      </x:c>
      <x:c r="G75" s="25" t="str">
        <x:v>豆包</x:v>
      </x:c>
      <x:c r="H75" s="25" t="str">
        <x:v>否</x:v>
      </x:c>
      <x:c r="I75" s="25" t="str">
        <x:v>否</x:v>
      </x:c>
      <x:c r="J75" s="25" t="n">
        <x:v>0</x:v>
      </x:c>
      <x:c r="K75" s="25" t="str">
        <x:v>https://bj.lieju.com/qitashangwufuwu/86029616.html</x:v>
      </x:c>
      <x:c r="L75" s="25" t="str">
        <x:v>http://www.hehenengyuan.com/about/</x:v>
      </x:c>
      <x:c r="M75" s="25" t="str">
        <x:v>http://www.jdkjgf.com/index.php/List/28.html</x:v>
      </x:c>
      <x:c r="N75" s="25" t="str">
        <x:v>https://www.tsyjjx.com/service.html</x:v>
      </x:c>
      <x:c r="O75" s="25" t="str">
        <x:v>https://www.sxcd-gyl.com/news.html</x:v>
      </x:c>
      <x:c r="P75" s="25" t="str">
        <x:v>https://www.ecm-china.net/emcbj</x:v>
      </x:c>
      <x:c r="Q75" s="25" t="str">
        <x:v>https://www.maigoo.com/maigoo/10248gyl_index.html</x:v>
      </x:c>
      <x:c r="R75" s="25" t="str">
        <x:v>https://www.echinagov.com/news/guotao/Article-LdnZGIC5-554.html</x:v>
      </x:c>
      <x:c r="S75" s="25" t="str">
        <x:v>https://www.echinagov.com/news/guotao/Article-z1kLS-1237.html</x:v>
      </x:c>
      <x:c r="T75" s="25" t="str">
        <x:v>https://bj.lieju.com/qitashangwufuwu/85207358.html</x:v>
      </x:c>
      <x:c r="U75" s="25" t="str">
        <x:v>GEO 1.0 (1).xlsx</x:v>
      </x:c>
      <x:c r="V75" s="25" t="str"/>
    </x:row>
    <x:row r="76" ht="32" customHeight="1">
      <x:c r="A76" s="25" t="str">
        <x:v>R1</x:v>
      </x:c>
      <x:c r="B76" s="26" t="n">
        <x:v>46232.166666666664</x:v>
      </x:c>
      <x:c r="C76" s="25" t="n">
        <x:v>72</x:v>
      </x:c>
      <x:c r="D76" s="25" t="str">
        <x:v>工业炉售后改造服务厂家</x:v>
      </x:c>
      <x:c r="E76" s="25" t="str">
        <x:v>非品牌词</x:v>
      </x:c>
      <x:c r="F76" s="25" t="str">
        <x:v>深度思考</x:v>
      </x:c>
      <x:c r="G76" s="25" t="str">
        <x:v>DeepSeek</x:v>
      </x:c>
      <x:c r="H76" s="25" t="str">
        <x:v>否</x:v>
      </x:c>
      <x:c r="I76" s="25" t="str">
        <x:v>否</x:v>
      </x:c>
      <x:c r="J76" s="25" t="n">
        <x:v>0</x:v>
      </x:c>
      <x:c r="K76" s="25" t="str">
        <x:v>http://20928487.mz.net.cn/</x:v>
      </x:c>
      <x:c r="L76" s="25" t="str">
        <x:v>http://sdydrn.zhuigan.cn/</x:v>
      </x:c>
      <x:c r="M76" s="25" t="str">
        <x:v>http://m.lkdianlu.cn/show_102.html</x:v>
      </x:c>
      <x:c r="N76" s="25" t="str">
        <x:v>https://www.zgxjjypt.com/com/23407210/</x:v>
      </x:c>
      <x:c r="O76" s="25" t="str">
        <x:v>http://www.boilerinfo.net/index.php?homepage=sdydrn&amp;file=introduce</x:v>
      </x:c>
      <x:c r="P76" s="25" t="str">
        <x:v>http://www.huangye88.com/city21578/2001302256.html</x:v>
      </x:c>
      <x:c r="Q76" s="25" t="str">
        <x:v>https://m.diytrade.com/m3/pd/5660043/%E5%BB%A3%E6%9D%B1%E9%9B%BB%E7%88%90%E7%B6%AD%E4%BF%AE.html</x:v>
      </x:c>
      <x:c r="R76" s="25" t="str">
        <x:v>https://3g.made-in-china.com/company-dl6165412/about.html</x:v>
      </x:c>
      <x:c r="S76" s="25" t="str">
        <x:v>http://big5.made-in-china.com/showroom/dl9213-companyinfo.html</x:v>
      </x:c>
      <x:c r="T76" s="25" t="str">
        <x:v>http://www.nzjc.com/chinashop/company_460994.html</x:v>
      </x:c>
      <x:c r="U76" s="25" t="str">
        <x:v>GEO 1.0 (1).xlsx</x:v>
      </x:c>
      <x:c r="V76" s="25" t="str"/>
    </x:row>
    <x:row r="77" ht="32" customHeight="1">
      <x:c r="A77" s="25" t="str">
        <x:v>R1</x:v>
      </x:c>
      <x:c r="B77" s="26" t="n">
        <x:v>46232.166666666664</x:v>
      </x:c>
      <x:c r="C77" s="25" t="n">
        <x:v>73</x:v>
      </x:c>
      <x:c r="D77" s="25" t="str">
        <x:v>工业炉售后改造服务厂家</x:v>
      </x:c>
      <x:c r="E77" s="25" t="str">
        <x:v>非品牌词</x:v>
      </x:c>
      <x:c r="F77" s="25" t="str">
        <x:v>深度思考</x:v>
      </x:c>
      <x:c r="G77" s="25" t="str">
        <x:v>元宝</x:v>
      </x:c>
      <x:c r="H77" s="25" t="str">
        <x:v>否</x:v>
      </x:c>
      <x:c r="I77" s="25" t="str">
        <x:v>否</x:v>
      </x:c>
      <x:c r="J77" s="25" t="n">
        <x:v>0</x:v>
      </x:c>
      <x:c r="K77" s="25" t="str">
        <x:v>http://mdjdly.cn/md_gywm.html</x:v>
      </x:c>
      <x:c r="L77" s="25" t="str">
        <x:v>http://www.blryjs.com/show.asp?id=1119</x:v>
      </x:c>
      <x:c r="M77" s="25" t="str">
        <x:v>https://www.qiyeku.cn/xinwen/10824824.html</x:v>
      </x:c>
      <x:c r="N77" s="25" t="str">
        <x:v>http://www.kszqzdh.com/index.php/Index/index.html</x:v>
      </x:c>
      <x:c r="O77" s="25" t="str">
        <x:v>https://mp.weixin.qq.com/s?src=11&amp;timestamp=1779934708&amp;ver=6747&amp;signature=ZxVcG2t1DA*9j8spPbAkej8*hDm2b2WXwQB9KdpCdECeVwpdJdkf*om*C3XK7Npxa1KC-59M*yYWl*E2xqw30tAZ7fUPE0FHG6MSlFRhwG3SELzgxUeYhyosVfuq68WA&amp;new=1</x:v>
      </x:c>
      <x:c r="P77" s="25" t="str">
        <x:v>https://www.007swz.com/Company/kfchgylyxgs</x:v>
      </x:c>
      <x:c r="Q77" s="25" t="str">
        <x:v>https://mp.weixin.qq.com/s?__biz=MzI4MzAyOTExOA==&amp;mid=2247553751&amp;idx=6&amp;sn=a7dc1668a0112b448c11f0f2c4baebf5&amp;chksm=eac6d3edfe886cd060cbb49a7263846a496bca48b23bc3cad31aa7471e72c7a2b3969c0c4fc4#rd</x:v>
      </x:c>
      <x:c r="R77" s="25" t="str">
        <x:v>https://www.byxx.com/index924057</x:v>
      </x:c>
      <x:c r="S77" s="25" t="str">
        <x:v>https://longxingdianlu.007swz.com/</x:v>
      </x:c>
      <x:c r="T77" s="25" t="str">
        <x:v>https://baike.baidu.com/item/%E9%BB%84%E5%86%88%E5%B8%82%E4%B8%AD%E8%81%94%E7%AA%91%E7%82%89%E8%AE%BE%E5%A4%87%E6%9C%89%E9%99%90%E5%85%AC%E5%8F%B8/2305232</x:v>
      </x:c>
      <x:c r="U77" s="25" t="str">
        <x:v>GEO 1.0 (1).xlsx</x:v>
      </x:c>
      <x:c r="V77" s="25" t="str"/>
    </x:row>
    <x:row r="78" ht="32" customHeight="1">
      <x:c r="A78" s="25" t="str">
        <x:v>R1</x:v>
      </x:c>
      <x:c r="B78" s="26" t="n">
        <x:v>46232.166666666664</x:v>
      </x:c>
      <x:c r="C78" s="25" t="n">
        <x:v>74</x:v>
      </x:c>
      <x:c r="D78" s="25" t="str">
        <x:v>工业炉售后改造服务厂家</x:v>
      </x:c>
      <x:c r="E78" s="25" t="str">
        <x:v>非品牌词</x:v>
      </x:c>
      <x:c r="F78" s="25" t="str">
        <x:v>深度思考</x:v>
      </x:c>
      <x:c r="G78" s="25" t="str">
        <x:v>通义</x:v>
      </x:c>
      <x:c r="H78" s="25" t="str"/>
      <x:c r="I78" s="25" t="str">
        <x:v>否</x:v>
      </x:c>
      <x:c r="J78" s="25"/>
      <x:c r="K78" s="25" t="str"/>
      <x:c r="L78" s="25" t="str"/>
      <x:c r="M78" s="25" t="str"/>
      <x:c r="N78" s="25" t="str"/>
      <x:c r="O78" s="25" t="str"/>
      <x:c r="P78" s="25" t="str"/>
      <x:c r="Q78" s="25" t="str"/>
      <x:c r="R78" s="25" t="str"/>
      <x:c r="S78" s="25" t="str"/>
      <x:c r="T78" s="25" t="str"/>
      <x:c r="U78" s="25" t="str">
        <x:v>GEO 1.0 (1).xlsx</x:v>
      </x:c>
      <x:c r="V78" s="25" t="str"/>
    </x:row>
    <x:row r="79" ht="32" customHeight="1">
      <x:c r="A79" s="25" t="str">
        <x:v>R1</x:v>
      </x:c>
      <x:c r="B79" s="26" t="n">
        <x:v>46232.166666666664</x:v>
      </x:c>
      <x:c r="C79" s="25" t="n">
        <x:v>75</x:v>
      </x:c>
      <x:c r="D79" s="25" t="str">
        <x:v>工业炉售后改造服务厂家</x:v>
      </x:c>
      <x:c r="E79" s="25" t="str">
        <x:v>非品牌词</x:v>
      </x:c>
      <x:c r="F79" s="25" t="str">
        <x:v>深度思考</x:v>
      </x:c>
      <x:c r="G79" s="25" t="str">
        <x:v>文心</x:v>
      </x:c>
      <x:c r="H79" s="25" t="str"/>
      <x:c r="I79" s="25" t="str">
        <x:v>否</x:v>
      </x:c>
      <x:c r="J79" s="25"/>
      <x:c r="K79" s="25" t="str"/>
      <x:c r="L79" s="25" t="str"/>
      <x:c r="M79" s="25" t="str"/>
      <x:c r="N79" s="25" t="str"/>
      <x:c r="O79" s="25" t="str"/>
      <x:c r="P79" s="25" t="str"/>
      <x:c r="Q79" s="25" t="str"/>
      <x:c r="R79" s="25" t="str"/>
      <x:c r="S79" s="25" t="str"/>
      <x:c r="T79" s="25" t="str"/>
      <x:c r="U79" s="25" t="str">
        <x:v>GEO 1.0 (1).xlsx</x:v>
      </x:c>
      <x:c r="V79" s="25" t="str"/>
    </x:row>
    <x:row r="80" ht="32" customHeight="1">
      <x:c r="A80" s="25" t="str">
        <x:v>R1</x:v>
      </x:c>
      <x:c r="B80" s="26" t="n">
        <x:v>46232.166666666664</x:v>
      </x:c>
      <x:c r="C80" s="25" t="n">
        <x:v>76</x:v>
      </x:c>
      <x:c r="D80" s="25" t="str">
        <x:v>热处理炉电加热改燃气方案</x:v>
      </x:c>
      <x:c r="E80" s="25" t="str">
        <x:v>非品牌词</x:v>
      </x:c>
      <x:c r="F80" s="25" t="str">
        <x:v>深度思考</x:v>
      </x:c>
      <x:c r="G80" s="25" t="str">
        <x:v>豆包</x:v>
      </x:c>
      <x:c r="H80" s="25" t="str">
        <x:v>否</x:v>
      </x:c>
      <x:c r="I80" s="25" t="str">
        <x:v>否</x:v>
      </x:c>
      <x:c r="J80" s="25" t="n">
        <x:v>0</x:v>
      </x:c>
      <x:c r="K80" s="25" t="str">
        <x:v>https://www.ditan.com/energy-saving/project/6003.html</x:v>
      </x:c>
      <x:c r="L80" s="25" t="str">
        <x:v>http://www.linfen.gov.cn/zzzb/zfwj_1/202503/t20250314_475891.html</x:v>
      </x:c>
      <x:c r="M80" s="25" t="str">
        <x:v>https://www.xjishu.com/zhuanli/38/202411325952.html</x:v>
      </x:c>
      <x:c r="N80" s="25" t="str">
        <x:v>https://max.book118.com/html/2026/0504/5230202242013210.shtm</x:v>
      </x:c>
      <x:c r="O80" s="25" t="str">
        <x:v>https://www.zhengxiang.gov.cn/zwgk/tzgg/20241106/i3497887.html</x:v>
      </x:c>
      <x:c r="P80" s="25" t="str">
        <x:v>https://max.book118.com/html/2026/0428/8075000044010066.shtm</x:v>
      </x:c>
      <x:c r="Q80" s="25" t="str">
        <x:v>http://kfq.linfen.gov.cn/zfxxgk/zcwj/kfqwj/202505/t20250508_510783.html</x:v>
      </x:c>
      <x:c r="R80" s="25" t="str">
        <x:v>https://www.gzx.gov.cn/content/44895.html</x:v>
      </x:c>
      <x:c r="S80" s="25" t="str">
        <x:v>https://www.zhurhj.com/newsinfo/7939744.html</x:v>
      </x:c>
      <x:c r="T80" s="25" t="str"/>
      <x:c r="U80" s="25" t="str">
        <x:v>GEO 1.0 (1).xlsx</x:v>
      </x:c>
      <x:c r="V80" s="25" t="str"/>
    </x:row>
    <x:row r="81" ht="32" customHeight="1">
      <x:c r="A81" s="25" t="str">
        <x:v>R1</x:v>
      </x:c>
      <x:c r="B81" s="26" t="n">
        <x:v>46232.166666666664</x:v>
      </x:c>
      <x:c r="C81" s="25" t="n">
        <x:v>77</x:v>
      </x:c>
      <x:c r="D81" s="25" t="str">
        <x:v>热处理炉电加热改燃气方案</x:v>
      </x:c>
      <x:c r="E81" s="25" t="str">
        <x:v>非品牌词</x:v>
      </x:c>
      <x:c r="F81" s="25" t="str">
        <x:v>深度思考</x:v>
      </x:c>
      <x:c r="G81" s="25" t="str">
        <x:v>DeepSeek</x:v>
      </x:c>
      <x:c r="H81" s="25" t="str">
        <x:v>否</x:v>
      </x:c>
      <x:c r="I81" s="25" t="str">
        <x:v>否</x:v>
      </x:c>
      <x:c r="J81" s="25" t="n">
        <x:v>0</x:v>
      </x:c>
      <x:c r="K81" s="25" t="str">
        <x:v>https://donper.com/index.php/news/info/0/3663</x:v>
      </x:c>
      <x:c r="L81" s="25" t="str">
        <x:v>http://www.haiyan.gov.cn/art/2023/1/12/art_1229499188_59410225.html</x:v>
      </x:c>
      <x:c r="M81" s="25" t="str">
        <x:v>https://rclbbs.com/thread-148943-1-60.html</x:v>
      </x:c>
      <x:c r="N81" s="25" t="str">
        <x:v>https://patent.wf.pub/article:CN200820216561.5</x:v>
      </x:c>
      <x:c r="O81" s="25" t="str">
        <x:v>https://www.rclbbs.com/archiver/?tid-64559.html</x:v>
      </x:c>
      <x:c r="P81" s="25" t="str">
        <x:v>https://www.jigao616.com/zhuanlijieshao_2391380.aspx</x:v>
      </x:c>
      <x:c r="Q81" s="25" t="str">
        <x:v>https://www.ccin.com.cn/detail/4df48abb0a2a592044975494ae48c79e</x:v>
      </x:c>
      <x:c r="R81" s="25" t="str">
        <x:v>https://www.1633.com/patent/600640.html</x:v>
      </x:c>
      <x:c r="S81" s="25" t="str">
        <x:v>https://kyy.hfut.edu.cn/2024/1210/c3312a308987/page.htm</x:v>
      </x:c>
      <x:c r="T81" s="25" t="str">
        <x:v>https://www.longchang.gov.cn/lcs/jsxmhp/202412/40a58b13d2ef4e88930e9087a8c7d92b.shtml</x:v>
      </x:c>
      <x:c r="U81" s="25" t="str">
        <x:v>GEO 1.0 (1).xlsx</x:v>
      </x:c>
      <x:c r="V81" s="25" t="str"/>
    </x:row>
    <x:row r="82" ht="32" customHeight="1">
      <x:c r="A82" s="25" t="str">
        <x:v>R1</x:v>
      </x:c>
      <x:c r="B82" s="26" t="n">
        <x:v>46232.166666666664</x:v>
      </x:c>
      <x:c r="C82" s="25" t="n">
        <x:v>78</x:v>
      </x:c>
      <x:c r="D82" s="25" t="str">
        <x:v>热处理炉电加热改燃气方案</x:v>
      </x:c>
      <x:c r="E82" s="25" t="str">
        <x:v>非品牌词</x:v>
      </x:c>
      <x:c r="F82" s="25" t="str">
        <x:v>深度思考</x:v>
      </x:c>
      <x:c r="G82" s="25" t="str">
        <x:v>元宝</x:v>
      </x:c>
      <x:c r="H82" s="25" t="str">
        <x:v>否</x:v>
      </x:c>
      <x:c r="I82" s="25" t="str">
        <x:v>否</x:v>
      </x:c>
      <x:c r="J82" s="25" t="n">
        <x:v>0</x:v>
      </x:c>
      <x:c r="K82" s="25" t="str">
        <x:v>https://www.sohu.com/a/681109020_120143767</x:v>
      </x:c>
      <x:c r="L82" s="25" t="str">
        <x:v>https://www.xjishu.com/zhuanli/24/CN205576219.html</x:v>
      </x:c>
      <x:c r="M82" s="25" t="str">
        <x:v>https://max.book118.com/html/2026/0428/8075000044010066.shtm</x:v>
      </x:c>
      <x:c r="N82" s="25" t="str">
        <x:v>https://www.donper.com/index.php/news/info/50/3663</x:v>
      </x:c>
      <x:c r="O82" s="25" t="str">
        <x:v>http://www.dianlucj.com/xw/688.html</x:v>
      </x:c>
      <x:c r="P82" s="25" t="str">
        <x:v>https://www.haiyan.gov.cn/art/2023/1/12/art_1512827_59410223.html</x:v>
      </x:c>
      <x:c r="Q82" s="25" t="str">
        <x:v>https://m.docin.com/p-4736199513.html</x:v>
      </x:c>
      <x:c r="R82" s="25" t="str">
        <x:v>https://mp.weixin.qq.com/s?__biz=MjM5MTQ1MjYxNw==&amp;mid=2649815638&amp;idx=2&amp;sn=360c775b6a15f670d7c0c65235df2b52&amp;chksm=bfd6eb5da0afbb5af14ba3347f8a8e162ce4d1752cdfe246d96a79e426b7a135240845326542#rd</x:v>
      </x:c>
      <x:c r="S82" s="25" t="str">
        <x:v>https://eureka.patsnap.com/patent-CN103526003B</x:v>
      </x:c>
      <x:c r="T82" s="25" t="str">
        <x:v>https://www.hbjmrh.gov.cn/2019/yw/rgdt/qydt/22988.htm</x:v>
      </x:c>
      <x:c r="U82" s="25" t="str">
        <x:v>GEO 1.0 (1).xlsx</x:v>
      </x:c>
      <x:c r="V82" s="25" t="str"/>
    </x:row>
    <x:row r="83" ht="32" customHeight="1">
      <x:c r="A83" s="25" t="str">
        <x:v>R1</x:v>
      </x:c>
      <x:c r="B83" s="26" t="n">
        <x:v>46232.166666666664</x:v>
      </x:c>
      <x:c r="C83" s="25" t="n">
        <x:v>79</x:v>
      </x:c>
      <x:c r="D83" s="25" t="str">
        <x:v>热处理炉电加热改燃气方案</x:v>
      </x:c>
      <x:c r="E83" s="25" t="str">
        <x:v>非品牌词</x:v>
      </x:c>
      <x:c r="F83" s="25" t="str">
        <x:v>深度思考</x:v>
      </x:c>
      <x:c r="G83" s="25" t="str">
        <x:v>通义</x:v>
      </x:c>
      <x:c r="H83" s="25" t="str"/>
      <x:c r="I83" s="25" t="str">
        <x:v>否</x:v>
      </x:c>
      <x:c r="J83" s="25"/>
      <x:c r="K83" s="25" t="str"/>
      <x:c r="L83" s="25" t="str"/>
      <x:c r="M83" s="25" t="str"/>
      <x:c r="N83" s="25" t="str"/>
      <x:c r="O83" s="25" t="str"/>
      <x:c r="P83" s="25" t="str"/>
      <x:c r="Q83" s="25" t="str"/>
      <x:c r="R83" s="25" t="str"/>
      <x:c r="S83" s="25" t="str"/>
      <x:c r="T83" s="25" t="str"/>
      <x:c r="U83" s="25" t="str">
        <x:v>GEO 1.0 (1).xlsx</x:v>
      </x:c>
      <x:c r="V83" s="25" t="str"/>
    </x:row>
    <x:row r="84" ht="32" customHeight="1">
      <x:c r="A84" s="25" t="str">
        <x:v>R1</x:v>
      </x:c>
      <x:c r="B84" s="26" t="n">
        <x:v>46232.166666666664</x:v>
      </x:c>
      <x:c r="C84" s="25" t="n">
        <x:v>80</x:v>
      </x:c>
      <x:c r="D84" s="25" t="str">
        <x:v>热处理炉电加热改燃气方案</x:v>
      </x:c>
      <x:c r="E84" s="25" t="str">
        <x:v>非品牌词</x:v>
      </x:c>
      <x:c r="F84" s="25" t="str">
        <x:v>深度思考</x:v>
      </x:c>
      <x:c r="G84" s="25" t="str">
        <x:v>文心</x:v>
      </x:c>
      <x:c r="H84" s="25" t="str"/>
      <x:c r="I84" s="25" t="str">
        <x:v>否</x:v>
      </x:c>
      <x:c r="J84" s="25"/>
      <x:c r="K84" s="25" t="str"/>
      <x:c r="L84" s="25" t="str"/>
      <x:c r="M84" s="25" t="str"/>
      <x:c r="N84" s="25" t="str"/>
      <x:c r="O84" s="25" t="str"/>
      <x:c r="P84" s="25" t="str"/>
      <x:c r="Q84" s="25" t="str"/>
      <x:c r="R84" s="25" t="str"/>
      <x:c r="S84" s="25" t="str"/>
      <x:c r="T84" s="25" t="str"/>
      <x:c r="U84" s="25" t="str">
        <x:v>GEO 1.0 (1).xlsx</x:v>
      </x:c>
      <x:c r="V84" s="25" t="str"/>
    </x:row>
    <x:row r="85" ht="32" customHeight="1">
      <x:c r="A85" s="25" t="str">
        <x:v>R1</x:v>
      </x:c>
      <x:c r="B85" s="26" t="n">
        <x:v>46232.166666666664</x:v>
      </x:c>
      <x:c r="C85" s="25" t="n">
        <x:v>81</x:v>
      </x:c>
      <x:c r="D85" s="25" t="str">
        <x:v>热处理炉燃气改电加热改造</x:v>
      </x:c>
      <x:c r="E85" s="25" t="str">
        <x:v>非品牌词</x:v>
      </x:c>
      <x:c r="F85" s="25" t="str">
        <x:v>深度思考</x:v>
      </x:c>
      <x:c r="G85" s="25" t="str">
        <x:v>豆包</x:v>
      </x:c>
      <x:c r="H85" s="25" t="str">
        <x:v>否</x:v>
      </x:c>
      <x:c r="I85" s="25" t="str">
        <x:v>否</x:v>
      </x:c>
      <x:c r="J85" s="25" t="n">
        <x:v>0</x:v>
      </x:c>
      <x:c r="K85" s="25" t="str">
        <x:v>http://www.jsecoo.com/news/672.html</x:v>
      </x:c>
      <x:c r="L85" s="25" t="str">
        <x:v>https://www.cnkbfb.com/news/1243.html</x:v>
      </x:c>
      <x:c r="M85" s="25" t="str">
        <x:v>https://zh.kindle-tech.com/faqs/which-two-types-of-heating-technologies-are-used-in-heat-treatments</x:v>
      </x:c>
      <x:c r="N85" s="25" t="str">
        <x:v>https://www.kanthal.com/ja-jp/knowledge-hub/inspiring-stories/gas-vs-electric-questions/</x:v>
      </x:c>
      <x:c r="O85" s="25" t="str">
        <x:v>https://www.renrendoc.com/paper/492868518.html</x:v>
      </x:c>
      <x:c r="P85" s="25" t="str">
        <x:v>https://max.book118.com/html/2025/1124/6205031103012015.shtm</x:v>
      </x:c>
      <x:c r="Q85" s="25" t="str">
        <x:v>https://m.sohu.com/a/1012969192_122643542/</x:v>
      </x:c>
      <x:c r="R85" s="25" t="str">
        <x:v>https://enecloud.co.jp/enetopi/heat-treatment-furnace-power-reduction/</x:v>
      </x:c>
      <x:c r="S85" s="25" t="str">
        <x:v>http://www.worldmetals.com.cn:8080/viscms/xingyeyaowen3686/271332.jhtml</x:v>
      </x:c>
      <x:c r="T85" s="25" t="str">
        <x:v>http://www.jsecoo.com/news/672.html</x:v>
      </x:c>
      <x:c r="U85" s="25" t="str">
        <x:v>GEO 1.0 (1).xlsx</x:v>
      </x:c>
      <x:c r="V85" s="25" t="str"/>
    </x:row>
    <x:row r="86" ht="32" customHeight="1">
      <x:c r="A86" s="25" t="str">
        <x:v>R1</x:v>
      </x:c>
      <x:c r="B86" s="26" t="n">
        <x:v>46232.166666666664</x:v>
      </x:c>
      <x:c r="C86" s="25" t="n">
        <x:v>82</x:v>
      </x:c>
      <x:c r="D86" s="25" t="str">
        <x:v>热处理炉燃气改电加热改造</x:v>
      </x:c>
      <x:c r="E86" s="25" t="str">
        <x:v>非品牌词</x:v>
      </x:c>
      <x:c r="F86" s="25" t="str">
        <x:v>深度思考</x:v>
      </x:c>
      <x:c r="G86" s="25" t="str">
        <x:v>DeepSeek</x:v>
      </x:c>
      <x:c r="H86" s="25" t="str">
        <x:v>否</x:v>
      </x:c>
      <x:c r="I86" s="25" t="str">
        <x:v>否</x:v>
      </x:c>
      <x:c r="J86" s="25" t="n">
        <x:v>0</x:v>
      </x:c>
      <x:c r="K86" s="25" t="str">
        <x:v>http://www.haiyan.gov.cn/art/2023/1/12/art_1512827_59410223.html</x:v>
      </x:c>
      <x:c r="L86" s="25" t="str">
        <x:v>http://www.bmmsteel.com.cn/node/6696</x:v>
      </x:c>
      <x:c r="M86" s="25" t="str">
        <x:v>http://www.chinakiln.net/technology/201108/24/270.html</x:v>
      </x:c>
      <x:c r="N86" s="25" t="str">
        <x:v>https://www.kanthal.cn/knowledge-hub/inspiring-stories/steel-industry-tackle-electrification-challenges/</x:v>
      </x:c>
      <x:c r="O86" s="25" t="str">
        <x:v>https://wap.cnki.net/touch/web/Journal/Article/GWRC199405011.html</x:v>
      </x:c>
      <x:c r="P86" s="25" t="str">
        <x:v>https://www.gusu.cn/news/1024.html</x:v>
      </x:c>
      <x:c r="Q86" s="25" t="str">
        <x:v>https://patent.wf.pub/article:CN200820216561.5</x:v>
      </x:c>
      <x:c r="R86" s="25" t="str">
        <x:v>https://rclbbs.com/archiver/?tid-154886.html</x:v>
      </x:c>
      <x:c r="S86" s="25" t="str">
        <x:v>https://cinic.org.cn/zgzz/qy/1614932.html</x:v>
      </x:c>
      <x:c r="T86" s="25" t="str">
        <x:v>https://www.alleima.cn/hiddenheroes/kanthal/</x:v>
      </x:c>
      <x:c r="U86" s="25" t="str">
        <x:v>GEO 1.0 (1).xlsx</x:v>
      </x:c>
      <x:c r="V86" s="25" t="str"/>
    </x:row>
    <x:row r="87" ht="32" customHeight="1">
      <x:c r="A87" s="25" t="str">
        <x:v>R1</x:v>
      </x:c>
      <x:c r="B87" s="26" t="n">
        <x:v>46232.166666666664</x:v>
      </x:c>
      <x:c r="C87" s="25" t="n">
        <x:v>83</x:v>
      </x:c>
      <x:c r="D87" s="25" t="str">
        <x:v>热处理炉燃气改电加热改造</x:v>
      </x:c>
      <x:c r="E87" s="25" t="str">
        <x:v>非品牌词</x:v>
      </x:c>
      <x:c r="F87" s="25" t="str">
        <x:v>深度思考</x:v>
      </x:c>
      <x:c r="G87" s="25" t="str">
        <x:v>元宝</x:v>
      </x:c>
      <x:c r="H87" s="25" t="str">
        <x:v>否</x:v>
      </x:c>
      <x:c r="I87" s="25" t="str">
        <x:v>否</x:v>
      </x:c>
      <x:c r="J87" s="25" t="n">
        <x:v>0</x:v>
      </x:c>
      <x:c r="K87" s="25" t="str">
        <x:v>http://www.hbxinyarg.com/news/show-27520-4341-206017.html</x:v>
      </x:c>
      <x:c r="L87" s="25" t="str">
        <x:v>https://max.book118.com/html/2026/0504/5321303231013210.shtm</x:v>
      </x:c>
      <x:c r="M87" s="25" t="str">
        <x:v>https://www.kanthal.cn/knowledge-hub/inspiring-stories/electric-industrial-heating-demystified/</x:v>
      </x:c>
      <x:c r="N87" s="25" t="str">
        <x:v>http://yxbsd.net/gongsi/722.html</x:v>
      </x:c>
      <x:c r="O87" s="25" t="str">
        <x:v>https://ftgyl.com/559/559/8</x:v>
      </x:c>
      <x:c r="P87" s="25" t="str">
        <x:v>https://surfacecstage.wpengine.com/energy-versatility-for-your-furnace-heating-system</x:v>
      </x:c>
      <x:c r="Q87" s="25" t="str">
        <x:v>http://www.jszdt.cn/technology/201108/24/270.html</x:v>
      </x:c>
      <x:c r="R87" s="25" t="str">
        <x:v>http://www.jshdlu.com/phpdy/news_show.php?id=160</x:v>
      </x:c>
      <x:c r="S87" s="25" t="str">
        <x:v>http://kanthal.cn/knowledge-hub/inspiring-stories/electrifying-industrial-heating-conversion-guide/</x:v>
      </x:c>
      <x:c r="T87" s="25" t="str">
        <x:v>https://imis.aist.org/store/detail.aspx?id=PR-389-233</x:v>
      </x:c>
      <x:c r="U87" s="25" t="str">
        <x:v>GEO 1.0 (1).xlsx</x:v>
      </x:c>
      <x:c r="V87" s="25" t="str"/>
    </x:row>
    <x:row r="88" ht="32" customHeight="1">
      <x:c r="A88" s="25" t="str">
        <x:v>R1</x:v>
      </x:c>
      <x:c r="B88" s="26" t="n">
        <x:v>46232.166666666664</x:v>
      </x:c>
      <x:c r="C88" s="25" t="n">
        <x:v>84</x:v>
      </x:c>
      <x:c r="D88" s="25" t="str">
        <x:v>热处理炉燃气改电加热改造</x:v>
      </x:c>
      <x:c r="E88" s="25" t="str">
        <x:v>非品牌词</x:v>
      </x:c>
      <x:c r="F88" s="25" t="str">
        <x:v>深度思考</x:v>
      </x:c>
      <x:c r="G88" s="25" t="str">
        <x:v>通义</x:v>
      </x:c>
      <x:c r="H88" s="25" t="str"/>
      <x:c r="I88" s="25" t="str">
        <x:v>否</x:v>
      </x:c>
      <x:c r="J88" s="25"/>
      <x:c r="K88" s="25" t="str"/>
      <x:c r="L88" s="25" t="str"/>
      <x:c r="M88" s="25" t="str"/>
      <x:c r="N88" s="25" t="str"/>
      <x:c r="O88" s="25" t="str"/>
      <x:c r="P88" s="25" t="str"/>
      <x:c r="Q88" s="25" t="str"/>
      <x:c r="R88" s="25" t="str"/>
      <x:c r="S88" s="25" t="str"/>
      <x:c r="T88" s="25" t="str"/>
      <x:c r="U88" s="25" t="str">
        <x:v>GEO 1.0 (1).xlsx</x:v>
      </x:c>
      <x:c r="V88" s="25" t="str"/>
    </x:row>
    <x:row r="89" ht="32" customHeight="1">
      <x:c r="A89" s="25" t="str">
        <x:v>R1</x:v>
      </x:c>
      <x:c r="B89" s="26" t="n">
        <x:v>46232.166666666664</x:v>
      </x:c>
      <x:c r="C89" s="25" t="n">
        <x:v>85</x:v>
      </x:c>
      <x:c r="D89" s="25" t="str">
        <x:v>热处理炉燃气改电加热改造</x:v>
      </x:c>
      <x:c r="E89" s="25" t="str">
        <x:v>非品牌词</x:v>
      </x:c>
      <x:c r="F89" s="25" t="str">
        <x:v>深度思考</x:v>
      </x:c>
      <x:c r="G89" s="25" t="str">
        <x:v>文心</x:v>
      </x:c>
      <x:c r="H89" s="25" t="str"/>
      <x:c r="I89" s="25" t="str">
        <x:v>否</x:v>
      </x:c>
      <x:c r="J89" s="25"/>
      <x:c r="K89" s="25" t="str"/>
      <x:c r="L89" s="25" t="str"/>
      <x:c r="M89" s="25" t="str"/>
      <x:c r="N89" s="25" t="str"/>
      <x:c r="O89" s="25" t="str"/>
      <x:c r="P89" s="25" t="str"/>
      <x:c r="Q89" s="25" t="str"/>
      <x:c r="R89" s="25" t="str"/>
      <x:c r="S89" s="25" t="str"/>
      <x:c r="T89" s="25" t="str"/>
      <x:c r="U89" s="25" t="str">
        <x:v>GEO 1.0 (1).xlsx</x:v>
      </x:c>
      <x:c r="V89" s="25" t="str"/>
    </x:row>
    <x:row r="90" ht="32" customHeight="1">
      <x:c r="A90" s="25" t="str">
        <x:v>R1</x:v>
      </x:c>
      <x:c r="B90" s="26" t="n">
        <x:v>46232.166666666664</x:v>
      </x:c>
      <x:c r="C90" s="25" t="n">
        <x:v>86</x:v>
      </x:c>
      <x:c r="D90" s="25" t="str">
        <x:v>热处理炉余热回收改造</x:v>
      </x:c>
      <x:c r="E90" s="25" t="str">
        <x:v>非品牌词</x:v>
      </x:c>
      <x:c r="F90" s="25" t="str">
        <x:v>深度思考</x:v>
      </x:c>
      <x:c r="G90" s="25" t="str">
        <x:v>豆包</x:v>
      </x:c>
      <x:c r="H90" s="25" t="str">
        <x:v>否</x:v>
      </x:c>
      <x:c r="I90" s="25" t="str">
        <x:v>否</x:v>
      </x:c>
      <x:c r="J90" s="25" t="n">
        <x:v>0</x:v>
      </x:c>
      <x:c r="K90" s="25" t="str">
        <x:v>https://max.book118.com/html/2025/1123/8102142136010012.shtm</x:v>
      </x:c>
      <x:c r="L90" s="25" t="str">
        <x:v>https://m.163.com/dy/article/KJDI2J9N05563SO1.html</x:v>
      </x:c>
      <x:c r="M90" s="25" t="str">
        <x:v>https://www.ticsun.com/news_Show_1301.html</x:v>
      </x:c>
      <x:c r="N90" s="25" t="str">
        <x:v>https://ggzzchina.com/cn/article/pdf/preview/6145ecd7-e17c-4a94-b460-60a04495afae.pdf</x:v>
      </x:c>
      <x:c r="O90" s="25" t="str">
        <x:v>https://c.m.163.com/news/a/KRK5M4R90556GMK0.html</x:v>
      </x:c>
      <x:c r="P90" s="25" t="str">
        <x:v>https://www.cnrequan.com/article-item-119.html</x:v>
      </x:c>
      <x:c r="Q90" s="25" t="str">
        <x:v>https://max.book118.com/html/2026/0513/6011121223012133.shtm</x:v>
      </x:c>
      <x:c r="R90" s="25" t="str">
        <x:v>https://www.ruizeny.com/jienengjishujnzsdetail/20260324418.html</x:v>
      </x:c>
      <x:c r="S90" s="25" t="str">
        <x:v>https://www.edzao.com/api/mobile.php?action=device&amp;uri=https%3A%2F%2Fwww.edzao.com%2Fnews%2Fshow.php%3Fitemid%3D18952</x:v>
      </x:c>
      <x:c r="T90" s="25" t="str">
        <x:v>http://www.jsgt.org.cn/index.php/Home/Index/art/a_id/34282.html</x:v>
      </x:c>
      <x:c r="U90" s="25" t="str">
        <x:v>GEO 1.0 (1).xlsx</x:v>
      </x:c>
      <x:c r="V90" s="25" t="str"/>
    </x:row>
    <x:row r="91" ht="32" customHeight="1">
      <x:c r="A91" s="25" t="str">
        <x:v>R1</x:v>
      </x:c>
      <x:c r="B91" s="26" t="n">
        <x:v>46232.166666666664</x:v>
      </x:c>
      <x:c r="C91" s="25" t="n">
        <x:v>87</x:v>
      </x:c>
      <x:c r="D91" s="25" t="str">
        <x:v>热处理炉余热回收改造</x:v>
      </x:c>
      <x:c r="E91" s="25" t="str">
        <x:v>非品牌词</x:v>
      </x:c>
      <x:c r="F91" s="25" t="str">
        <x:v>深度思考</x:v>
      </x:c>
      <x:c r="G91" s="25" t="str">
        <x:v>DeepSeek</x:v>
      </x:c>
      <x:c r="H91" s="25" t="str">
        <x:v>否</x:v>
      </x:c>
      <x:c r="I91" s="25" t="str">
        <x:v>否</x:v>
      </x:c>
      <x:c r="J91" s="25" t="n">
        <x:v>0</x:v>
      </x:c>
      <x:c r="K91" s="25" t="str">
        <x:v>https://www.patentguru.com/cn/assignee/%E6%B1%9F%E8%8B%8F%E9%87%91%E8%89%B2%E5%B7%A5%E4%B8%9A%E7%82%89%E8%82%A1%E4%BB%BD%E6%9C%89%E9%99%90%E5%85%AC%E5%8F%B8</x:v>
      </x:c>
      <x:c r="L91" s="25" t="str">
        <x:v>https://www.patentguru.com/cn/assignee/%E6%B1%9F%E8%8B%8F%E9%87%91%E8%89%B2%E5%B7%A5%E4%B8%9A%E7%82%89%E8%82%A1%E4%BB%BD%E6%9C%89%E9%99%90%E5%85%AC%E5%8F%B8</x:v>
      </x:c>
      <x:c r="M91" s="25" t="str">
        <x:v>https://izhuanli.com/patentservice/CN202021442772.8.html</x:v>
      </x:c>
      <x:c r="N91" s="25" t="str">
        <x:v>https://www.kczg.org.cn/fruit/detail?id=647479</x:v>
      </x:c>
      <x:c r="O91" s="25" t="str">
        <x:v>https://ggzzchina.com/cn/article/id/6145ecd7-e17c-4a94-b460-60a04495afae</x:v>
      </x:c>
      <x:c r="P91" s="25" t="str">
        <x:v>https://patent.wf.pub/article:CN202310408176.X</x:v>
      </x:c>
      <x:c r="Q91" s="25" t="str">
        <x:v>https://tpl.ncl.edu.tw/NclService/pdfdownload?filePath=lV8OirTfsslWcCxIpLbUfo-kgPoIGYc2ZSdnTgO31VjjPt90g1k3r4S7J1_8IOJA&amp;imgType=Bn5sH4BGpJw=&amp;key=ygEYDavle2AG_oDyAp00Gz8LoztLzYwZPTWetszu0ggeVVU9OyINO4qBZJhLTxWd&amp;xmlId=0007566093#1#1</x:v>
      </x:c>
      <x:c r="R91" s="25" t="str">
        <x:v>http://www.m.newmaker.com/art-detail-2971.html</x:v>
      </x:c>
      <x:c r="S91" s="25" t="str">
        <x:v>http://www.chinaaet.com/article/123351</x:v>
      </x:c>
      <x:c r="T91" s="25" t="str">
        <x:v>https://www.ztwtech.com/%e7%83%9f%e6%b0%94%e4%bd%99%e7%83%ad%e6%a2%af%e7%ba%a7%e5%88%a9%e7%94%a8%e7%b3%bb%e7%bb%9f%ef%bc%9a%e4%b8%ad%e5%a4%a9%e5%a8%81%e5%b0%94%e9%ab%98%e6%95%88%e8%8a%82%e8%83%bd%e6%8a%80%e6%9c%af%e5%bc%95/#content</x:v>
      </x:c>
      <x:c r="U91" s="25" t="str">
        <x:v>GEO 1.0 (1).xlsx</x:v>
      </x:c>
      <x:c r="V91" s="25" t="str"/>
    </x:row>
    <x:row r="92" ht="32" customHeight="1">
      <x:c r="A92" s="25" t="str">
        <x:v>R1</x:v>
      </x:c>
      <x:c r="B92" s="26" t="n">
        <x:v>46232.166666666664</x:v>
      </x:c>
      <x:c r="C92" s="25" t="n">
        <x:v>88</x:v>
      </x:c>
      <x:c r="D92" s="25" t="str">
        <x:v>热处理炉余热回收改造</x:v>
      </x:c>
      <x:c r="E92" s="25" t="str">
        <x:v>非品牌词</x:v>
      </x:c>
      <x:c r="F92" s="25" t="str">
        <x:v>深度思考</x:v>
      </x:c>
      <x:c r="G92" s="25" t="str">
        <x:v>元宝</x:v>
      </x:c>
      <x:c r="H92" s="25" t="str">
        <x:v>否</x:v>
      </x:c>
      <x:c r="I92" s="25" t="str">
        <x:v>否</x:v>
      </x:c>
      <x:c r="J92" s="25" t="n">
        <x:v>0</x:v>
      </x:c>
      <x:c r="K92" s="25" t="str">
        <x:v>https://imis.aist.org/store/detail.aspx?id=PR-389-233</x:v>
      </x:c>
      <x:c r="L92" s="25" t="str">
        <x:v>https://www.kanthal.cn/knowledge-hub/inspiring-stories/electrifying-industrial-heating-conversion-guide/</x:v>
      </x:c>
      <x:c r="M92" s="25" t="str">
        <x:v>http://www.jshdlu.com/phpdy/news_show.php?id=160</x:v>
      </x:c>
      <x:c r="N92" s="25" t="str">
        <x:v>http://www.jszdt.cn/technology/201108/24/270.html</x:v>
      </x:c>
      <x:c r="O92" s="25" t="str">
        <x:v>https://surfacecstage.wpengine.com/energy-versatility-for-your-furnace-heating-system/</x:v>
      </x:c>
      <x:c r="P92" s="25" t="str">
        <x:v>https://ftgyl.com/559/559/8</x:v>
      </x:c>
      <x:c r="Q92" s="25" t="str">
        <x:v>http://www.yxbsd.net/gongsi/722.html</x:v>
      </x:c>
      <x:c r="R92" s="25" t="str">
        <x:v>https://www.kanthal.cn/knowledge-hub/inspiring-stories/electric-industrial-heating-demystified/</x:v>
      </x:c>
      <x:c r="S92" s="25" t="str">
        <x:v>http://www.hbxinyarg.com/news/show-27520-4341-206017.html</x:v>
      </x:c>
      <x:c r="T92" s="25" t="str"/>
      <x:c r="U92" s="25" t="str">
        <x:v>GEO 1.0 (1).xlsx</x:v>
      </x:c>
      <x:c r="V92" s="25" t="str"/>
    </x:row>
    <x:row r="93" ht="32" customHeight="1">
      <x:c r="A93" s="25" t="str">
        <x:v>R1</x:v>
      </x:c>
      <x:c r="B93" s="26" t="n">
        <x:v>46232.166666666664</x:v>
      </x:c>
      <x:c r="C93" s="25" t="n">
        <x:v>89</x:v>
      </x:c>
      <x:c r="D93" s="25" t="str">
        <x:v>热处理炉余热回收改造</x:v>
      </x:c>
      <x:c r="E93" s="25" t="str">
        <x:v>非品牌词</x:v>
      </x:c>
      <x:c r="F93" s="25" t="str">
        <x:v>深度思考</x:v>
      </x:c>
      <x:c r="G93" s="25" t="str">
        <x:v>通义</x:v>
      </x:c>
      <x:c r="H93" s="25" t="str"/>
      <x:c r="I93" s="25" t="str">
        <x:v>否</x:v>
      </x:c>
      <x:c r="J93" s="25"/>
      <x:c r="K93" s="25" t="str"/>
      <x:c r="L93" s="25" t="str"/>
      <x:c r="M93" s="25" t="str"/>
      <x:c r="N93" s="25" t="str"/>
      <x:c r="O93" s="25" t="str"/>
      <x:c r="P93" s="25" t="str"/>
      <x:c r="Q93" s="25" t="str"/>
      <x:c r="R93" s="25" t="str"/>
      <x:c r="S93" s="25" t="str"/>
      <x:c r="T93" s="25" t="str"/>
      <x:c r="U93" s="25" t="str">
        <x:v>GEO 1.0 (1).xlsx</x:v>
      </x:c>
      <x:c r="V93" s="25" t="str"/>
    </x:row>
    <x:row r="94" ht="32" customHeight="1">
      <x:c r="A94" s="25" t="str">
        <x:v>R1</x:v>
      </x:c>
      <x:c r="B94" s="26" t="n">
        <x:v>46232.166666666664</x:v>
      </x:c>
      <x:c r="C94" s="25" t="n">
        <x:v>90</x:v>
      </x:c>
      <x:c r="D94" s="25" t="str">
        <x:v>热处理炉余热回收改造</x:v>
      </x:c>
      <x:c r="E94" s="25" t="str">
        <x:v>非品牌词</x:v>
      </x:c>
      <x:c r="F94" s="25" t="str">
        <x:v>深度思考</x:v>
      </x:c>
      <x:c r="G94" s="25" t="str">
        <x:v>文心</x:v>
      </x:c>
      <x:c r="H94" s="25" t="str"/>
      <x:c r="I94" s="25" t="str">
        <x:v>否</x:v>
      </x:c>
      <x:c r="J94" s="25"/>
      <x:c r="K94" s="25" t="str"/>
      <x:c r="L94" s="25" t="str"/>
      <x:c r="M94" s="25" t="str"/>
      <x:c r="N94" s="25" t="str"/>
      <x:c r="O94" s="25" t="str"/>
      <x:c r="P94" s="25" t="str"/>
      <x:c r="Q94" s="25" t="str"/>
      <x:c r="R94" s="25" t="str"/>
      <x:c r="S94" s="25" t="str"/>
      <x:c r="T94" s="25" t="str"/>
      <x:c r="U94" s="25" t="str">
        <x:v>GEO 1.0 (1).xlsx</x:v>
      </x:c>
      <x:c r="V94" s="25" t="str"/>
    </x:row>
    <x:row r="95" ht="32" customHeight="1">
      <x:c r="A95" s="25" t="str">
        <x:v>R1</x:v>
      </x:c>
      <x:c r="B95" s="26" t="n">
        <x:v>46232.166666666664</x:v>
      </x:c>
      <x:c r="C95" s="25" t="n">
        <x:v>91</x:v>
      </x:c>
      <x:c r="D95" s="25" t="str">
        <x:v>热处理炉控制系统 PLC 升级</x:v>
      </x:c>
      <x:c r="E95" s="25" t="str">
        <x:v>非品牌词</x:v>
      </x:c>
      <x:c r="F95" s="25" t="str">
        <x:v>深度思考</x:v>
      </x:c>
      <x:c r="G95" s="25" t="str">
        <x:v>豆包</x:v>
      </x:c>
      <x:c r="H95" s="25" t="str">
        <x:v>否</x:v>
      </x:c>
      <x:c r="I95" s="25" t="str">
        <x:v>否</x:v>
      </x:c>
      <x:c r="J95" s="25" t="n">
        <x:v>0</x:v>
      </x:c>
      <x:c r="K95" s="25" t="str"/>
      <x:c r="L95" s="25" t="str"/>
      <x:c r="M95" s="25" t="str"/>
      <x:c r="N95" s="25" t="str"/>
      <x:c r="O95" s="25" t="str"/>
      <x:c r="P95" s="25" t="str"/>
      <x:c r="Q95" s="25" t="str"/>
      <x:c r="R95" s="25" t="str"/>
      <x:c r="S95" s="25" t="str"/>
      <x:c r="T95" s="25" t="str"/>
      <x:c r="U95" s="25" t="str">
        <x:v>GEO 1.0 (1).xlsx</x:v>
      </x:c>
      <x:c r="V95" s="25" t="str"/>
    </x:row>
    <x:row r="96" ht="32" customHeight="1">
      <x:c r="A96" s="25" t="str">
        <x:v>R1</x:v>
      </x:c>
      <x:c r="B96" s="26" t="n">
        <x:v>46232.166666666664</x:v>
      </x:c>
      <x:c r="C96" s="25" t="n">
        <x:v>92</x:v>
      </x:c>
      <x:c r="D96" s="25" t="str">
        <x:v>热处理炉控制系统 PLC 升级</x:v>
      </x:c>
      <x:c r="E96" s="25" t="str">
        <x:v>非品牌词</x:v>
      </x:c>
      <x:c r="F96" s="25" t="str">
        <x:v>深度思考</x:v>
      </x:c>
      <x:c r="G96" s="25" t="str">
        <x:v>DeepSeek</x:v>
      </x:c>
      <x:c r="H96" s="25" t="str">
        <x:v>否</x:v>
      </x:c>
      <x:c r="I96" s="25" t="str">
        <x:v>否</x:v>
      </x:c>
      <x:c r="J96" s="25" t="n">
        <x:v>0</x:v>
      </x:c>
      <x:c r="K96" s="25" t="str">
        <x:v>http://yousergroup.cn/SubModule/Detail.aspx?id=20833&amp;classId=43&amp;channel_id=2</x:v>
      </x:c>
      <x:c r="L96" s="25" t="str">
        <x:v>https://baohuabidding.com/shbhgjzb/jyxx/018001/018001003/018001003002/20251020/e8309c4f-1e05-4ad6-bb4a-348c489e60c2.html</x:v>
      </x:c>
      <x:c r="M96" s="25" t="str">
        <x:v>https://www.ad.siemens.com.cn/club/bbs/post_1967704_50_0_11633.html#anch</x:v>
      </x:c>
      <x:c r="N96" s="25" t="str">
        <x:v>http://c.gongkong.com/WELLAUTO/a109925.html</x:v>
      </x:c>
      <x:c r="O96" s="25" t="str">
        <x:v>https://im.cechina.cn/21/0914/09/20210914092421.htm</x:v>
      </x:c>
      <x:c r="P96" s="25" t="str">
        <x:v>https://www.chinania.org.cn/html/djgz/hangyedangjian/2025/1219/60042.html</x:v>
      </x:c>
      <x:c r="Q96" s="25" t="str">
        <x:v>http://stock.10jqka.com.cn/20260320/c675445290.shtml</x:v>
      </x:c>
      <x:c r="R96" s="25" t="str">
        <x:v>http://www.csteelnews.com/xwzx/yjgg/202005/t20200522_32134.html</x:v>
      </x:c>
      <x:c r="S96" s="25" t="str">
        <x:v>http://c.gongkong.com/siemenspc/a28456.html</x:v>
      </x:c>
      <x:c r="T96" s="25" t="str">
        <x:v>https://wap.cnki.net/touch/web/Journal/Article/GXJX200906069.html</x:v>
      </x:c>
      <x:c r="U96" s="25" t="str">
        <x:v>GEO 1.0 (1).xlsx</x:v>
      </x:c>
      <x:c r="V96" s="25" t="str"/>
    </x:row>
    <x:row r="97" ht="32" customHeight="1">
      <x:c r="A97" s="25" t="str">
        <x:v>R1</x:v>
      </x:c>
      <x:c r="B97" s="26" t="n">
        <x:v>46232.166666666664</x:v>
      </x:c>
      <x:c r="C97" s="25" t="n">
        <x:v>93</x:v>
      </x:c>
      <x:c r="D97" s="25" t="str">
        <x:v>热处理炉控制系统 PLC 升级</x:v>
      </x:c>
      <x:c r="E97" s="25" t="str">
        <x:v>非品牌词</x:v>
      </x:c>
      <x:c r="F97" s="25" t="str">
        <x:v>深度思考</x:v>
      </x:c>
      <x:c r="G97" s="25" t="str">
        <x:v>元宝</x:v>
      </x:c>
      <x:c r="H97" s="25" t="str">
        <x:v>否</x:v>
      </x:c>
      <x:c r="I97" s="25" t="str">
        <x:v>否</x:v>
      </x:c>
      <x:c r="J97" s="25" t="n">
        <x:v>0</x:v>
      </x:c>
      <x:c r="K97" s="25" t="str">
        <x:v>https://www.ad.siemens.com.cn/club/bbs/post_1967704_50_0_57.html</x:v>
      </x:c>
      <x:c r="L97" s="25" t="str">
        <x:v>https://www.pacgroup.co.uk/case-studies/control-system-refurbishment/</x:v>
      </x:c>
      <x:c r="M97" s="25" t="str">
        <x:v>https://www.cechina.cn/m/article.aspx?ID=80278</x:v>
      </x:c>
      <x:c r="N97" s="25" t="str">
        <x:v>https://www.1633.com/tec/nrssuosrr.shtml</x:v>
      </x:c>
      <x:c r="O97" s="25" t="str">
        <x:v>https://www.eurotherm.com/eplc400-heat-treatment-furnace-control</x:v>
      </x:c>
      <x:c r="P97" s="25" t="str">
        <x:v>https://max.book118.com/html/2024/0528/8127006116006073.shtm</x:v>
      </x:c>
      <x:c r="Q97" s="25" t="str">
        <x:v>https://www.iianews.com/ca/_01-ABC00000000000116824.shtml</x:v>
      </x:c>
      <x:c r="R97" s="25" t="str">
        <x:v>https://www.plantengineering.com/amp-upgrades-to-edge-controllers/</x:v>
      </x:c>
      <x:c r="S97" s="25" t="str">
        <x:v>https://mp.weixin.qq.com/s?src=11&amp;timestamp=1779936762&amp;ver=6747&amp;signature=AVyGsLnwnqHSr7ZZayV-5IUDqH*faD1Ab*ZoS-RHt5IscW8cvvqxgATrX7*zBQC1VmnTYVIwcQI-iSKtXKO-VANkliYyJxPRcttGkWsY2KQHvltrb5jEVB5qlNFfsDKN&amp;new=1</x:v>
      </x:c>
      <x:c r="T97" s="25" t="str">
        <x:v>https://chinaaet.cn/article/117350</x:v>
      </x:c>
      <x:c r="U97" s="25" t="str">
        <x:v>GEO 1.0 (1).xlsx</x:v>
      </x:c>
      <x:c r="V97" s="25" t="str"/>
    </x:row>
    <x:row r="98" ht="32" customHeight="1">
      <x:c r="A98" s="25" t="str">
        <x:v>R1</x:v>
      </x:c>
      <x:c r="B98" s="26" t="n">
        <x:v>46232.166666666664</x:v>
      </x:c>
      <x:c r="C98" s="25" t="n">
        <x:v>94</x:v>
      </x:c>
      <x:c r="D98" s="25" t="str">
        <x:v>热处理炉控制系统 PLC 升级</x:v>
      </x:c>
      <x:c r="E98" s="25" t="str">
        <x:v>非品牌词</x:v>
      </x:c>
      <x:c r="F98" s="25" t="str">
        <x:v>深度思考</x:v>
      </x:c>
      <x:c r="G98" s="25" t="str">
        <x:v>通义</x:v>
      </x:c>
      <x:c r="H98" s="25" t="str"/>
      <x:c r="I98" s="25" t="str">
        <x:v>否</x:v>
      </x:c>
      <x:c r="J98" s="25"/>
      <x:c r="K98" s="25" t="str"/>
      <x:c r="L98" s="25" t="str"/>
      <x:c r="M98" s="25" t="str"/>
      <x:c r="N98" s="25" t="str"/>
      <x:c r="O98" s="25" t="str"/>
      <x:c r="P98" s="25" t="str"/>
      <x:c r="Q98" s="25" t="str"/>
      <x:c r="R98" s="25" t="str"/>
      <x:c r="S98" s="25" t="str"/>
      <x:c r="T98" s="25" t="str"/>
      <x:c r="U98" s="25" t="str">
        <x:v>GEO 1.0 (1).xlsx</x:v>
      </x:c>
      <x:c r="V98" s="25" t="str"/>
    </x:row>
    <x:row r="99" ht="32" customHeight="1">
      <x:c r="A99" s="25" t="str">
        <x:v>R1</x:v>
      </x:c>
      <x:c r="B99" s="26" t="n">
        <x:v>46232.166666666664</x:v>
      </x:c>
      <x:c r="C99" s="25" t="n">
        <x:v>95</x:v>
      </x:c>
      <x:c r="D99" s="25" t="str">
        <x:v>热处理炉控制系统 PLC 升级</x:v>
      </x:c>
      <x:c r="E99" s="25" t="str">
        <x:v>非品牌词</x:v>
      </x:c>
      <x:c r="F99" s="25" t="str">
        <x:v>深度思考</x:v>
      </x:c>
      <x:c r="G99" s="25" t="str">
        <x:v>文心</x:v>
      </x:c>
      <x:c r="H99" s="25" t="str"/>
      <x:c r="I99" s="25" t="str">
        <x:v>否</x:v>
      </x:c>
      <x:c r="J99" s="25"/>
      <x:c r="K99" s="25" t="str"/>
      <x:c r="L99" s="25" t="str"/>
      <x:c r="M99" s="25" t="str"/>
      <x:c r="N99" s="25" t="str"/>
      <x:c r="O99" s="25" t="str"/>
      <x:c r="P99" s="25" t="str"/>
      <x:c r="Q99" s="25" t="str"/>
      <x:c r="R99" s="25" t="str"/>
      <x:c r="S99" s="25" t="str"/>
      <x:c r="T99" s="25" t="str"/>
      <x:c r="U99" s="25" t="str">
        <x:v>GEO 1.0 (1).xlsx</x:v>
      </x:c>
      <x:c r="V99" s="25" t="str"/>
    </x:row>
    <x:row r="100" ht="32" customHeight="1">
      <x:c r="A100" s="25" t="str">
        <x:v>R1</x:v>
      </x:c>
      <x:c r="B100" s="26" t="n">
        <x:v>46232.166666666664</x:v>
      </x:c>
      <x:c r="C100" s="25" t="n">
        <x:v>96</x:v>
      </x:c>
      <x:c r="D100" s="25" t="str">
        <x:v>热处理炉 DCS 控制系统改造</x:v>
      </x:c>
      <x:c r="E100" s="25" t="str">
        <x:v>非品牌词</x:v>
      </x:c>
      <x:c r="F100" s="25" t="str">
        <x:v>深度思考</x:v>
      </x:c>
      <x:c r="G100" s="25" t="str">
        <x:v>豆包</x:v>
      </x:c>
      <x:c r="H100" s="25" t="str">
        <x:v>否</x:v>
      </x:c>
      <x:c r="I100" s="25" t="str">
        <x:v>否</x:v>
      </x:c>
      <x:c r="J100" s="25" t="n">
        <x:v>0</x:v>
      </x:c>
      <x:c r="K100" s="25" t="str">
        <x:v>http://www.cadmm.com/com/abbzg/solution/itemid-2281.html</x:v>
      </x:c>
      <x:c r="L100" s="25" t="str">
        <x:v>https://max.book118.com/html/2026/0523/7030031031011114.shtm</x:v>
      </x:c>
      <x:c r="M100" s="25" t="str">
        <x:v>https://max.book118.com/html/2026/0502/6220140042012131.shtm</x:v>
      </x:c>
      <x:c r="N100" s="25" t="str">
        <x:v>https://www.gkong.com/learn/learn_detail.asp?learn_id=13966</x:v>
      </x:c>
      <x:c r="O100" s="25" t="str">
        <x:v>https://max.book118.com/html/2026/0205/8137074134010043.shtm</x:v>
      </x:c>
      <x:c r="P100" s="25" t="str">
        <x:v>https://max.book118.com/html/2026/0523/7030031031011114.shtm</x:v>
      </x:c>
      <x:c r="Q100" s="25" t="str">
        <x:v>http://www.cadmm.com/com/abbzg/solution/itemid-2281.html</x:v>
      </x:c>
      <x:c r="R100" s="25" t="str">
        <x:v>https://max.book118.com/html/2025/1018/8052025073010000.shtm</x:v>
      </x:c>
      <x:c r="S100" s="25" t="str">
        <x:v>https://www.ybrcl.com/news/1177.html</x:v>
      </x:c>
      <x:c r="T100" s="25" t="str">
        <x:v>https://www.gkong.com/learn/learn_detail.asp?learn_id=13966</x:v>
      </x:c>
      <x:c r="U100" s="25" t="str">
        <x:v>GEO 1.0 (1).xlsx</x:v>
      </x:c>
      <x:c r="V100" s="25" t="str"/>
    </x:row>
    <x:row r="101" ht="32" customHeight="1">
      <x:c r="A101" s="25" t="str">
        <x:v>R1</x:v>
      </x:c>
      <x:c r="B101" s="26" t="n">
        <x:v>46232.166666666664</x:v>
      </x:c>
      <x:c r="C101" s="25" t="n">
        <x:v>97</x:v>
      </x:c>
      <x:c r="D101" s="25" t="str">
        <x:v>热处理炉 DCS 控制系统改造</x:v>
      </x:c>
      <x:c r="E101" s="25" t="str">
        <x:v>非品牌词</x:v>
      </x:c>
      <x:c r="F101" s="25" t="str">
        <x:v>深度思考</x:v>
      </x:c>
      <x:c r="G101" s="25" t="str">
        <x:v>DeepSeek</x:v>
      </x:c>
      <x:c r="H101" s="25" t="str">
        <x:v>否</x:v>
      </x:c>
      <x:c r="I101" s="25" t="str">
        <x:v>否</x:v>
      </x:c>
      <x:c r="J101" s="25" t="n">
        <x:v>0</x:v>
      </x:c>
      <x:c r="K101" s="25" t="str">
        <x:v>https://www.shebeiyiyuan.com/gain/13290.html?isSearch=false</x:v>
      </x:c>
      <x:c r="L101" s="25" t="str">
        <x:v>https://article.cechina.cn/2008-08/200887092436.htm</x:v>
      </x:c>
      <x:c r="M101" s="25" t="str">
        <x:v>https://library.cnu.ac.kr/eds/detail/edscoj_edscoj.bgjs200606014?briefLink=%2Feds%2Fbrief%2FdiscoveryResult%3Fst%3DKWRD%26service_type%3Dbrief%26si%3DSU%26q%3D%2522Fiix%2522%26</x:v>
      </x:c>
      <x:c r="N101" s="25" t="str">
        <x:v>https://cdmd.cnki.com.cn/Article/CDMD-10060-1014221809.htm</x:v>
      </x:c>
      <x:c r="O101" s="25" t="str">
        <x:v>http://ca800.com/down/d_1nrutdcudj9cu.html</x:v>
      </x:c>
      <x:c r="P101" s="25" t="str">
        <x:v>https://www.renrendoc.com/paper/223664374.html</x:v>
      </x:c>
      <x:c r="Q101" s="25" t="str">
        <x:v>https://www.avic.com.cn/c/2026-04-14/642550.shtml</x:v>
      </x:c>
      <x:c r="R101" s="25" t="str">
        <x:v>https://m.steelx2.com/news-content.aspx?id=641362</x:v>
      </x:c>
      <x:c r="S101" s="25" t="str">
        <x:v>https://kyzy.china-cdt.com/cdtkxjs/news/tqyd/2026/5/I1504443682403647488.html</x:v>
      </x:c>
      <x:c r="T101" s="25" t="str">
        <x:v>https://blog.csdn.net/mingdatech/article/details/154980058</x:v>
      </x:c>
      <x:c r="U101" s="25" t="str">
        <x:v>GEO 1.0 (1).xlsx</x:v>
      </x:c>
      <x:c r="V101" s="25" t="str"/>
    </x:row>
    <x:row r="102" ht="32" customHeight="1">
      <x:c r="A102" s="25" t="str">
        <x:v>R1</x:v>
      </x:c>
      <x:c r="B102" s="26" t="n">
        <x:v>46232.166666666664</x:v>
      </x:c>
      <x:c r="C102" s="25" t="n">
        <x:v>98</x:v>
      </x:c>
      <x:c r="D102" s="25" t="str">
        <x:v>热处理炉 DCS 控制系统改造</x:v>
      </x:c>
      <x:c r="E102" s="25" t="str">
        <x:v>非品牌词</x:v>
      </x:c>
      <x:c r="F102" s="25" t="str">
        <x:v>深度思考</x:v>
      </x:c>
      <x:c r="G102" s="25" t="str">
        <x:v>元宝</x:v>
      </x:c>
      <x:c r="H102" s="25" t="str">
        <x:v>否</x:v>
      </x:c>
      <x:c r="I102" s="25" t="str">
        <x:v>否</x:v>
      </x:c>
      <x:c r="J102" s="25" t="n">
        <x:v>0</x:v>
      </x:c>
      <x:c r="K102" s="25" t="str">
        <x:v>http://market.cnmn.com.cn/ShowNews1.aspx?id=467628</x:v>
      </x:c>
      <x:c r="L102" s="25" t="str">
        <x:v>https://www.yousergroup.com/SubModule/Detail.aspx?id=20833&amp;classId=43&amp;channel_id=2</x:v>
      </x:c>
      <x:c r="M102" s="25" t="str">
        <x:v>https://ty9.ustb.edu.cn/publish/bjkjdxgyy/kyygc/xmjz/976db249f9be4a83a1ef4ec0b60a23df.htm</x:v>
      </x:c>
      <x:c r="N102" s="25" t="str">
        <x:v>https://www.jdfurnace.com/blog/how-to-upgrade-the-control-system-of-a-box-annealing-furnace-854719.html</x:v>
      </x:c>
      <x:c r="O102" s="25" t="str">
        <x:v>https://www.chem17.com/tech_news/detail/795708.html</x:v>
      </x:c>
      <x:c r="P102" s="25" t="str">
        <x:v>https://m.chem17.com/tech_news/detail/795708.html</x:v>
      </x:c>
      <x:c r="Q102" s="25" t="str">
        <x:v>https://www.etwinternational.com//4-vacuum-furnace-control-system-576400.html</x:v>
      </x:c>
      <x:c r="R102" s="25" t="str">
        <x:v>https://www.mmsonline.com.cn/info/116824.shtml</x:v>
      </x:c>
      <x:c r="S102" s="25" t="str">
        <x:v>https://wincc.com.cn/solution_show.aspx?id=2012072612211500001</x:v>
      </x:c>
      <x:c r="T102" s="25" t="str">
        <x:v>https://www.renrendoc.com/paper/146290620.html</x:v>
      </x:c>
      <x:c r="U102" s="25" t="str">
        <x:v>GEO 1.0 (1).xlsx</x:v>
      </x:c>
      <x:c r="V102" s="25" t="str"/>
    </x:row>
    <x:row r="103" ht="32" customHeight="1">
      <x:c r="A103" s="25" t="str">
        <x:v>R1</x:v>
      </x:c>
      <x:c r="B103" s="26" t="n">
        <x:v>46232.166666666664</x:v>
      </x:c>
      <x:c r="C103" s="25" t="n">
        <x:v>99</x:v>
      </x:c>
      <x:c r="D103" s="25" t="str">
        <x:v>热处理炉 DCS 控制系统改造</x:v>
      </x:c>
      <x:c r="E103" s="25" t="str">
        <x:v>非品牌词</x:v>
      </x:c>
      <x:c r="F103" s="25" t="str">
        <x:v>深度思考</x:v>
      </x:c>
      <x:c r="G103" s="25" t="str">
        <x:v>通义</x:v>
      </x:c>
      <x:c r="H103" s="25" t="str"/>
      <x:c r="I103" s="25" t="str">
        <x:v>否</x:v>
      </x:c>
      <x:c r="J103" s="25"/>
      <x:c r="K103" s="25" t="str"/>
      <x:c r="L103" s="25" t="str"/>
      <x:c r="M103" s="25" t="str"/>
      <x:c r="N103" s="25" t="str"/>
      <x:c r="O103" s="25" t="str"/>
      <x:c r="P103" s="25" t="str"/>
      <x:c r="Q103" s="25" t="str"/>
      <x:c r="R103" s="25" t="str"/>
      <x:c r="S103" s="25" t="str"/>
      <x:c r="T103" s="25" t="str"/>
      <x:c r="U103" s="25" t="str">
        <x:v>GEO 1.0 (1).xlsx</x:v>
      </x:c>
      <x:c r="V103" s="25" t="str"/>
    </x:row>
    <x:row r="104" ht="32" customHeight="1">
      <x:c r="A104" s="25" t="str">
        <x:v>R1</x:v>
      </x:c>
      <x:c r="B104" s="26" t="n">
        <x:v>46232.166666666664</x:v>
      </x:c>
      <x:c r="C104" s="25" t="n">
        <x:v>100</x:v>
      </x:c>
      <x:c r="D104" s="25" t="str">
        <x:v>罩式炉气氛系统升级改造</x:v>
      </x:c>
      <x:c r="E104" s="25" t="str">
        <x:v>非品牌词</x:v>
      </x:c>
      <x:c r="F104" s="25" t="str">
        <x:v>深度思考</x:v>
      </x:c>
      <x:c r="G104" s="25" t="str">
        <x:v>豆包</x:v>
      </x:c>
      <x:c r="H104" s="25" t="str">
        <x:v>否</x:v>
      </x:c>
      <x:c r="I104" s="25" t="str">
        <x:v>否</x:v>
      </x:c>
      <x:c r="J104" s="25" t="n">
        <x:v>0</x:v>
      </x:c>
      <x:c r="K104" s="25" t="str">
        <x:v>https://www.docin.com/touch_new/preview_new.do?id=4952805102</x:v>
      </x:c>
      <x:c r="L104" s="25" t="str">
        <x:v>https://www.xjishu.com/zhuanli/24/202511582995.html</x:v>
      </x:c>
      <x:c r="M104" s="25" t="str">
        <x:v>https://patentimages.storage.googleapis.com/97/32/0b/1beb3b9354dd47/CN102534181A.pdf</x:v>
      </x:c>
      <x:c r="N104" s="25" t="str">
        <x:v>douyin.com/video/7171297178407734562?previous_page=app_code_link</x:v>
      </x:c>
      <x:c r="O104" s="25" t="str">
        <x:v>https://product.baosight.com/category/4237</x:v>
      </x:c>
      <x:c r="P104" s="25" t="str">
        <x:v>https://www.csm.org.cn/col/col6317/art/2025/art_5be8e4b472cf4c53bc11cfabb9206839.html</x:v>
      </x:c>
      <x:c r="Q104" s="25" t="str">
        <x:v>https://www.xjishu.com/zhuanli/24/202511582995.html</x:v>
      </x:c>
      <x:c r="R104" s="25" t="str">
        <x:v>https://www.docin.com/p-4952805102.html</x:v>
      </x:c>
      <x:c r="S104" s="25" t="str">
        <x:v>https://patentimages.storage.googleapis.com/97/32/0b/1beb3b9354dd47/CN102534181A.pdf</x:v>
      </x:c>
      <x:c r="T104" s="25" t="str">
        <x:v>https://m.sohu.com/a/974332093_122124278</x:v>
      </x:c>
      <x:c r="U104" s="25" t="str">
        <x:v>GEO 1.0 (1).xlsx</x:v>
      </x:c>
      <x:c r="V104" s="25" t="str"/>
    </x:row>
    <x:row r="105" ht="32" customHeight="1">
      <x:c r="A105" s="25" t="str">
        <x:v>R1</x:v>
      </x:c>
      <x:c r="B105" s="26" t="n">
        <x:v>46232.166666666664</x:v>
      </x:c>
      <x:c r="C105" s="25" t="n">
        <x:v>101</x:v>
      </x:c>
      <x:c r="D105" s="25" t="str">
        <x:v>罩式炉气氛系统升级改造</x:v>
      </x:c>
      <x:c r="E105" s="25" t="str">
        <x:v>非品牌词</x:v>
      </x:c>
      <x:c r="F105" s="25" t="str">
        <x:v>深度思考</x:v>
      </x:c>
      <x:c r="G105" s="25" t="str">
        <x:v>DeepSeek</x:v>
      </x:c>
      <x:c r="H105" s="25" t="str">
        <x:v>否</x:v>
      </x:c>
      <x:c r="I105" s="25" t="str">
        <x:v>否</x:v>
      </x:c>
      <x:c r="J105" s="25" t="n">
        <x:v>0</x:v>
      </x:c>
      <x:c r="K105" s="25" t="str">
        <x:v>https://oece.usst.edu.cn/2012/1114/c9127a209622/page.htm</x:v>
      </x:c>
      <x:c r="L105" s="25" t="str">
        <x:v>https://mall.cnki.net/magazine/article/CMFD/1012470800.nh.htm</x:v>
      </x:c>
      <x:c r="M105" s="25" t="str">
        <x:v>https://www.gyjr.com/oa/DArticle.aspx?id=201702015&amp;type=view</x:v>
      </x:c>
      <x:c r="N105" s="25" t="str">
        <x:v>https://www.jigao616.com/zhuanlijieshao_1802328.aspx</x:v>
      </x:c>
      <x:c r="O105" s="25" t="str">
        <x:v>https://mall.cnki.net/magazine/Article/GYLZ201701006.htm</x:v>
      </x:c>
      <x:c r="P105" s="25" t="str">
        <x:v>https://m.tianyancha.com/zhuanli/b8ac7c1c98002568400424fdae4432d3</x:v>
      </x:c>
      <x:c r="Q105" s="25" t="str">
        <x:v>https://alu.cn/aluTrade/3623430.html</x:v>
      </x:c>
      <x:c r="R105" s="25" t="str">
        <x:v>https://www.xjishu.com/zhuanli/24/202422451219.html</x:v>
      </x:c>
      <x:c r="S105" s="25" t="str">
        <x:v>http://ycly13905825430.b2b.huangye88.com/product_17840836.html</x:v>
      </x:c>
      <x:c r="T105" s="25" t="str">
        <x:v>https://baike.baidu.com/item/%e7%bd%a9%e5%bc%8f%e7%82%89/8518611?fromModule=lemma_inlink</x:v>
      </x:c>
      <x:c r="U105" s="25" t="str">
        <x:v>GEO 1.0 (1).xlsx</x:v>
      </x:c>
      <x:c r="V105" s="25" t="str"/>
    </x:row>
    <x:row r="106" ht="32" customHeight="1">
      <x:c r="A106" s="25" t="str">
        <x:v>R1</x:v>
      </x:c>
      <x:c r="B106" s="26" t="n">
        <x:v>46232.166666666664</x:v>
      </x:c>
      <x:c r="C106" s="25" t="n">
        <x:v>102</x:v>
      </x:c>
      <x:c r="D106" s="25" t="str">
        <x:v>罩式炉气氛系统升级改造</x:v>
      </x:c>
      <x:c r="E106" s="25" t="str">
        <x:v>非品牌词</x:v>
      </x:c>
      <x:c r="F106" s="25" t="str">
        <x:v>深度思考</x:v>
      </x:c>
      <x:c r="G106" s="25" t="str">
        <x:v>元宝</x:v>
      </x:c>
      <x:c r="H106" s="25" t="str">
        <x:v>否</x:v>
      </x:c>
      <x:c r="I106" s="25" t="str">
        <x:v>否</x:v>
      </x:c>
      <x:c r="J106" s="25" t="n">
        <x:v>0</x:v>
      </x:c>
      <x:c r="K106" s="25" t="str">
        <x:v>https://www.jigao616.com/zhuanlijieshao_13971148.aspx</x:v>
      </x:c>
      <x:c r="L106" s="25" t="str">
        <x:v>https://jz.docin.com/p-642898248.html</x:v>
      </x:c>
      <x:c r="M106" s="25" t="str">
        <x:v>http://www.yingtan.gov.cn/art/2023/2/8/art_11978_1279605.html</x:v>
      </x:c>
      <x:c r="N106" s="25" t="str">
        <x:v>https://www.jigao616.com/zhuanlijieshao_13479093.aspx</x:v>
      </x:c>
      <x:c r="O106" s="25" t="str">
        <x:v>https://www.ip.top/patentDetail?q=63b6ecc1a6d286bb845465d5</x:v>
      </x:c>
      <x:c r="P106" s="25" t="str">
        <x:v>https://www.jigao616.com/zhuanlijieshao_14427438.aspx</x:v>
      </x:c>
      <x:c r="Q106" s="25" t="str">
        <x:v>https://www.directindustry.com/prod/loi-thermprocess-tenova-metals-division/product-21762-152737.html</x:v>
      </x:c>
      <x:c r="R106" s="25" t="str">
        <x:v>https://www.yhjspt.com/patentDetail?q=6948e76cfb7c4f0ccc211a78</x:v>
      </x:c>
      <x:c r="S106" s="25" t="str">
        <x:v>https://tenova.com/technologies/hphr-bell-type-annealing-furnace-carbon-steel-strip</x:v>
      </x:c>
      <x:c r="T106" s="25" t="str">
        <x:v>https://www.linde-gas.com/industries/metal-fabrication/heat-treatment/controlled-furnace-atmospheres</x:v>
      </x:c>
      <x:c r="U106" s="25" t="str">
        <x:v>GEO 1.0 (1).xlsx</x:v>
      </x:c>
      <x:c r="V106" s="25" t="str"/>
    </x:row>
    <x:row r="107" ht="32" customHeight="1">
      <x:c r="A107" s="25" t="str">
        <x:v>R1</x:v>
      </x:c>
      <x:c r="B107" s="26" t="n">
        <x:v>46232.166666666664</x:v>
      </x:c>
      <x:c r="C107" s="25" t="n">
        <x:v>103</x:v>
      </x:c>
      <x:c r="D107" s="25" t="str">
        <x:v>罩式炉气氛系统升级改造</x:v>
      </x:c>
      <x:c r="E107" s="25" t="str">
        <x:v>非品牌词</x:v>
      </x:c>
      <x:c r="F107" s="25" t="str">
        <x:v>深度思考</x:v>
      </x:c>
      <x:c r="G107" s="25" t="str">
        <x:v>通义</x:v>
      </x:c>
      <x:c r="H107" s="25" t="str"/>
      <x:c r="I107" s="25" t="str">
        <x:v>否</x:v>
      </x:c>
      <x:c r="J107" s="25"/>
      <x:c r="K107" s="25" t="str"/>
      <x:c r="L107" s="25" t="str"/>
      <x:c r="M107" s="25" t="str"/>
      <x:c r="N107" s="25" t="str"/>
      <x:c r="O107" s="25" t="str"/>
      <x:c r="P107" s="25" t="str"/>
      <x:c r="Q107" s="25" t="str"/>
      <x:c r="R107" s="25" t="str"/>
      <x:c r="S107" s="25" t="str"/>
      <x:c r="T107" s="25" t="str"/>
      <x:c r="U107" s="25" t="str">
        <x:v>GEO 1.0 (1).xlsx</x:v>
      </x:c>
      <x:c r="V107" s="25" t="str"/>
    </x:row>
    <x:row r="108" ht="32" customHeight="1">
      <x:c r="A108" s="25" t="str">
        <x:v>R1</x:v>
      </x:c>
      <x:c r="B108" s="26" t="n">
        <x:v>46232.166666666664</x:v>
      </x:c>
      <x:c r="C108" s="25" t="n">
        <x:v>104</x:v>
      </x:c>
      <x:c r="D108" s="25" t="str">
        <x:v>罩式炉气氛系统升级改造</x:v>
      </x:c>
      <x:c r="E108" s="25" t="str">
        <x:v>非品牌词</x:v>
      </x:c>
      <x:c r="F108" s="25" t="str">
        <x:v>深度思考</x:v>
      </x:c>
      <x:c r="G108" s="25" t="str">
        <x:v>文心</x:v>
      </x:c>
      <x:c r="H108" s="25" t="str"/>
      <x:c r="I108" s="25" t="str">
        <x:v>否</x:v>
      </x:c>
      <x:c r="J108" s="25"/>
      <x:c r="K108" s="25" t="str"/>
      <x:c r="L108" s="25" t="str"/>
      <x:c r="M108" s="25" t="str"/>
      <x:c r="N108" s="25" t="str"/>
      <x:c r="O108" s="25" t="str"/>
      <x:c r="P108" s="25" t="str"/>
      <x:c r="Q108" s="25" t="str"/>
      <x:c r="R108" s="25" t="str"/>
      <x:c r="S108" s="25" t="str"/>
      <x:c r="T108" s="25" t="str"/>
      <x:c r="U108" s="25" t="str">
        <x:v>GEO 1.0 (1).xlsx</x:v>
      </x:c>
      <x:c r="V108" s="25" t="str"/>
    </x:row>
    <x:row r="109" ht="32" customHeight="1">
      <x:c r="A109" s="25" t="str">
        <x:v>R1</x:v>
      </x:c>
      <x:c r="B109" s="26" t="n">
        <x:v>46232.166666666664</x:v>
      </x:c>
      <x:c r="C109" s="25" t="n">
        <x:v>105</x:v>
      </x:c>
      <x:c r="D109" s="25" t="str">
        <x:v>推杆炉机械系统大修</x:v>
      </x:c>
      <x:c r="E109" s="25" t="str">
        <x:v>非品牌词</x:v>
      </x:c>
      <x:c r="F109" s="25" t="str">
        <x:v>深度思考</x:v>
      </x:c>
      <x:c r="G109" s="25" t="str">
        <x:v>豆包</x:v>
      </x:c>
      <x:c r="H109" s="25" t="str">
        <x:v>否</x:v>
      </x:c>
      <x:c r="I109" s="25" t="str">
        <x:v>否</x:v>
      </x:c>
      <x:c r="J109" s="25" t="n">
        <x:v>0</x:v>
      </x:c>
      <x:c r="K109" s="25" t="str">
        <x:v>https://www.chenchr.com/push_furnace_repair.html</x:v>
      </x:c>
      <x:c r="L109" s="25" t="str">
        <x:v>https://www.luligroup.com/index.php?m=content&amp;c=index&amp;a=show&amp;catid=9807&amp;id=52</x:v>
      </x:c>
      <x:c r="M109" s="25" t="str">
        <x:v>https://www.doc88.com/p-2445518676523.html</x:v>
      </x:c>
      <x:c r="N109" s="25" t="str">
        <x:v>http://m.gdjianzheng.com/detail-4616228.html</x:v>
      </x:c>
      <x:c r="O109" s="25" t="str">
        <x:v>https://max.book118.com/html/2026/0123/6234220042012052.shtm</x:v>
      </x:c>
      <x:c r="P109" s="25" t="str">
        <x:v>https://max.book118.com/html/2026/0509/8136011122010070.shtm</x:v>
      </x:c>
      <x:c r="Q109" s="25" t="str">
        <x:v>https://www.chenchr.com/push_furnace_repair.html</x:v>
      </x:c>
      <x:c r="R109" s="25" t="str">
        <x:v>https://www.luligroup.com/index.php?m=content&amp;c=index&amp;a=show&amp;catid=9807&amp;id=52</x:v>
      </x:c>
      <x:c r="S109" s="25" t="str">
        <x:v>https://m.book118.com/try_down/398023034102006125.pdf</x:v>
      </x:c>
      <x:c r="T109" s="25" t="str">
        <x:v>https://www.renrendoc.com/paper/449687536.html</x:v>
      </x:c>
      <x:c r="U109" s="25" t="str">
        <x:v>GEO 1.0 (1).xlsx</x:v>
      </x:c>
      <x:c r="V109" s="25" t="str"/>
    </x:row>
    <x:row r="110" ht="32" customHeight="1">
      <x:c r="A110" s="25" t="str">
        <x:v>R1</x:v>
      </x:c>
      <x:c r="B110" s="26" t="n">
        <x:v>46232.166666666664</x:v>
      </x:c>
      <x:c r="C110" s="25" t="n">
        <x:v>106</x:v>
      </x:c>
      <x:c r="D110" s="25" t="str">
        <x:v>推杆炉机械系统大修</x:v>
      </x:c>
      <x:c r="E110" s="25" t="str">
        <x:v>非品牌词</x:v>
      </x:c>
      <x:c r="F110" s="25" t="str">
        <x:v>深度思考</x:v>
      </x:c>
      <x:c r="G110" s="25" t="str">
        <x:v>DeepSeek</x:v>
      </x:c>
      <x:c r="H110" s="25" t="str">
        <x:v>否</x:v>
      </x:c>
      <x:c r="I110" s="25" t="str">
        <x:v>否</x:v>
      </x:c>
      <x:c r="J110" s="25" t="n">
        <x:v>0</x:v>
      </x:c>
      <x:c r="K110" s="25" t="str">
        <x:v>http://www.hzzhdl.com/zhishi/view_434.html</x:v>
      </x:c>
      <x:c r="L110" s="25" t="str">
        <x:v>http://www.bidchance.com/info-gonggao-024023fd8a64c748ba6705ca36674ef6.html</x:v>
      </x:c>
      <x:c r="M110" s="25" t="str">
        <x:v>https://www.jinchutou.com/shtml/37f8b6704b42ae10a37c5cada789bc7c.html</x:v>
      </x:c>
      <x:c r="N110" s="25" t="str">
        <x:v>https://wap.cnki.net/touch/web/Journal/Article/QHJJ199103007.html</x:v>
      </x:c>
      <x:c r="O110" s="25" t="str">
        <x:v>http://chengchi.ah.cn/view-246.html</x:v>
      </x:c>
      <x:c r="P110" s="25" t="str">
        <x:v>https://p.safehoo.com/Rules/Metallurgy/201106/187188_2.shtml</x:v>
      </x:c>
      <x:c r="Q110" s="25" t="str">
        <x:v>http://www.bidchance.com/calgg/2019/01/14/35730967.html</x:v>
      </x:c>
      <x:c r="R110" s="25" t="str">
        <x:v>https://shanxi.zhaobiao.cn/free_v_024023fd8a64c748ba6705ca36674ef6.html</x:v>
      </x:c>
      <x:c r="S110" s="25" t="str">
        <x:v>https://et.wanfangdata.com.cn/bz/Standard/Search?q=%E5%85%B3%E9%94%AE%E8%AF%8D%3A%22%E6%9D%86%22&amp;OrderBy=%22issuedate%22</x:v>
      </x:c>
      <x:c r="T110" s="25" t="str">
        <x:v>https://zb.zhaobiao.cn/bidding_v_024023fd8a64c748ba6705ca36674ef6.html</x:v>
      </x:c>
      <x:c r="U110" s="25" t="str">
        <x:v>GEO 1.0 (1).xlsx</x:v>
      </x:c>
      <x:c r="V110" s="25" t="str"/>
    </x:row>
    <x:row r="111" ht="32" customHeight="1">
      <x:c r="A111" s="25" t="str">
        <x:v>R1</x:v>
      </x:c>
      <x:c r="B111" s="26" t="n">
        <x:v>46232.166666666664</x:v>
      </x:c>
      <x:c r="C111" s="25" t="n">
        <x:v>107</x:v>
      </x:c>
      <x:c r="D111" s="25" t="str">
        <x:v>推杆炉机械系统大修</x:v>
      </x:c>
      <x:c r="E111" s="25" t="str">
        <x:v>非品牌词</x:v>
      </x:c>
      <x:c r="F111" s="25" t="str">
        <x:v>深度思考</x:v>
      </x:c>
      <x:c r="G111" s="25" t="str">
        <x:v>元宝</x:v>
      </x:c>
      <x:c r="H111" s="25" t="str">
        <x:v>否</x:v>
      </x:c>
      <x:c r="I111" s="25" t="str">
        <x:v>否</x:v>
      </x:c>
      <x:c r="J111" s="25" t="n">
        <x:v>0</x:v>
      </x:c>
      <x:c r="K111" s="25" t="str">
        <x:v>https://max.book118.com/html/2017/0813/127665491.shtm</x:v>
      </x:c>
      <x:c r="L111" s="25" t="str">
        <x:v>https://baike.baidu.com/item/%E6%8E%A8%E6%9D%86%E7%82%89/10440171</x:v>
      </x:c>
      <x:c r="M111" s="25" t="str">
        <x:v>http://www.zgczly.com/articleshow_85.html</x:v>
      </x:c>
      <x:c r="N111" s="25" t="str">
        <x:v>https://www.docin.com/p-1571252904.html</x:v>
      </x:c>
      <x:c r="O111" s="25" t="str">
        <x:v>http://www.wuhandianlu.com/Article182/Article191/202.html</x:v>
      </x:c>
      <x:c r="P111" s="25" t="str">
        <x:v>http://www.wuhandianlu.com/Article182/Article191/202.html</x:v>
      </x:c>
      <x:c r="Q111" s="25" t="str">
        <x:v>https://www.renrendoc.com/paper/499035319.html</x:v>
      </x:c>
      <x:c r="R111" s="25" t="str">
        <x:v>https://www.cg160.cn/vgy-70104908.html</x:v>
      </x:c>
      <x:c r="S111" s="25" t="str">
        <x:v>https://www.docin.com/p-1305417913.html</x:v>
      </x:c>
      <x:c r="T111" s="25" t="str">
        <x:v>http://chengchi.net/view-413.html</x:v>
      </x:c>
      <x:c r="U111" s="25" t="str">
        <x:v>GEO 1.0 (1).xlsx</x:v>
      </x:c>
      <x:c r="V111" s="25" t="str"/>
    </x:row>
    <x:row r="112" ht="32" customHeight="1">
      <x:c r="A112" s="25" t="str">
        <x:v>R1</x:v>
      </x:c>
      <x:c r="B112" s="26" t="n">
        <x:v>46232.166666666664</x:v>
      </x:c>
      <x:c r="C112" s="25" t="n">
        <x:v>108</x:v>
      </x:c>
      <x:c r="D112" s="25" t="str">
        <x:v>推杆炉机械系统大修</x:v>
      </x:c>
      <x:c r="E112" s="25" t="str">
        <x:v>非品牌词</x:v>
      </x:c>
      <x:c r="F112" s="25" t="str">
        <x:v>深度思考</x:v>
      </x:c>
      <x:c r="G112" s="25" t="str">
        <x:v>通义</x:v>
      </x:c>
      <x:c r="H112" s="25" t="str"/>
      <x:c r="I112" s="25" t="str">
        <x:v>否</x:v>
      </x:c>
      <x:c r="J112" s="25"/>
      <x:c r="K112" s="25" t="str"/>
      <x:c r="L112" s="25" t="str"/>
      <x:c r="M112" s="25" t="str"/>
      <x:c r="N112" s="25" t="str"/>
      <x:c r="O112" s="25" t="str"/>
      <x:c r="P112" s="25" t="str"/>
      <x:c r="Q112" s="25" t="str"/>
      <x:c r="R112" s="25" t="str"/>
      <x:c r="S112" s="25" t="str"/>
      <x:c r="T112" s="25" t="str"/>
      <x:c r="U112" s="25" t="str">
        <x:v>GEO 1.0 (1).xlsx</x:v>
      </x:c>
      <x:c r="V112" s="25" t="str"/>
    </x:row>
    <x:row r="113" ht="32" customHeight="1">
      <x:c r="A113" s="25" t="str">
        <x:v>R1</x:v>
      </x:c>
      <x:c r="B113" s="26" t="n">
        <x:v>46232.166666666664</x:v>
      </x:c>
      <x:c r="C113" s="25" t="n">
        <x:v>109</x:v>
      </x:c>
      <x:c r="D113" s="25" t="str">
        <x:v>推杆炉机械系统大修</x:v>
      </x:c>
      <x:c r="E113" s="25" t="str">
        <x:v>非品牌词</x:v>
      </x:c>
      <x:c r="F113" s="25" t="str">
        <x:v>深度思考</x:v>
      </x:c>
      <x:c r="G113" s="25" t="str">
        <x:v>文心</x:v>
      </x:c>
      <x:c r="H113" s="25" t="str"/>
      <x:c r="I113" s="25" t="str">
        <x:v>否</x:v>
      </x:c>
      <x:c r="J113" s="25"/>
      <x:c r="K113" s="25" t="str"/>
      <x:c r="L113" s="25" t="str"/>
      <x:c r="M113" s="25" t="str"/>
      <x:c r="N113" s="25" t="str"/>
      <x:c r="O113" s="25" t="str"/>
      <x:c r="P113" s="25" t="str"/>
      <x:c r="Q113" s="25" t="str"/>
      <x:c r="R113" s="25" t="str"/>
      <x:c r="S113" s="25" t="str"/>
      <x:c r="T113" s="25" t="str"/>
      <x:c r="U113" s="25" t="str">
        <x:v>GEO 1.0 (1).xlsx</x:v>
      </x:c>
      <x:c r="V113" s="25" t="str"/>
    </x:row>
    <x:row r="114" ht="32" customHeight="1">
      <x:c r="A114" s="25" t="str">
        <x:v>R1</x:v>
      </x:c>
      <x:c r="B114" s="26" t="n">
        <x:v>46232.166666666664</x:v>
      </x:c>
      <x:c r="C114" s="25" t="n">
        <x:v>110</x:v>
      </x:c>
      <x:c r="D114" s="25" t="str">
        <x:v>二手热处理炉再制造服务</x:v>
      </x:c>
      <x:c r="E114" s="25" t="str">
        <x:v>非品牌词</x:v>
      </x:c>
      <x:c r="F114" s="25" t="str">
        <x:v>深度思考</x:v>
      </x:c>
      <x:c r="G114" s="25" t="str">
        <x:v>豆包</x:v>
      </x:c>
      <x:c r="H114" s="25" t="str">
        <x:v>否</x:v>
      </x:c>
      <x:c r="I114" s="25" t="str">
        <x:v>否</x:v>
      </x:c>
      <x:c r="J114" s="25" t="n">
        <x:v>0</x:v>
      </x:c>
      <x:c r="K114" s="25" t="str">
        <x:v>https://www.hezegd.com/shangxun/Article-6WGhCLiX-886.html</x:v>
      </x:c>
      <x:c r="L114" s="25" t="str">
        <x:v>https://www.echinagov.com/news/guotao/Article-6WGhCLiX-191.html</x:v>
      </x:c>
      <x:c r="M114" s="25" t="str">
        <x:v>https://www.chinabidding.com.cn/shangxun/Article-6WGhCLiX-841.html</x:v>
      </x:c>
      <x:c r="N114" s="25" t="str">
        <x:v>https://www.shangyexinzhi.com/article/31301395.html</x:v>
      </x:c>
      <x:c r="O114" s="25" t="str">
        <x:v>https://m.sohu.com/a/995193801_122610410/</x:v>
      </x:c>
      <x:c r="P114" s="25" t="str">
        <x:v>https://m.sohu.com/a/1007841747_122706379/</x:v>
      </x:c>
      <x:c r="Q114" s="25" t="str">
        <x:v>https://m.thepaper.cn/newsDetail_forward_25805273</x:v>
      </x:c>
      <x:c r="R114" s="25" t="str">
        <x:v>https://max.book118.com/html/2026/0418/6235143224012123.shtm</x:v>
      </x:c>
      <x:c r="S114" s="25" t="str">
        <x:v>http://kass.sacinfo.org.cn:808/kfs/token/download/lkrzyqktjuhdueac</x:v>
      </x:c>
      <x:c r="T114" s="25" t="str">
        <x:v>https://www.echinagov.com/news/guotao/Article-6WGhCLiX-80.html</x:v>
      </x:c>
      <x:c r="U114" s="25" t="str">
        <x:v>GEO 1.0 (1).xlsx</x:v>
      </x:c>
      <x:c r="V114" s="25" t="str"/>
    </x:row>
    <x:row r="115" ht="32" customHeight="1">
      <x:c r="A115" s="25" t="str">
        <x:v>R1</x:v>
      </x:c>
      <x:c r="B115" s="26" t="n">
        <x:v>46232.166666666664</x:v>
      </x:c>
      <x:c r="C115" s="25" t="n">
        <x:v>111</x:v>
      </x:c>
      <x:c r="D115" s="25" t="str">
        <x:v>二手热处理炉再制造服务</x:v>
      </x:c>
      <x:c r="E115" s="25" t="str">
        <x:v>非品牌词</x:v>
      </x:c>
      <x:c r="F115" s="25" t="str">
        <x:v>深度思考</x:v>
      </x:c>
      <x:c r="G115" s="25" t="str">
        <x:v>DeepSeek</x:v>
      </x:c>
      <x:c r="H115" s="25" t="str">
        <x:v>否</x:v>
      </x:c>
      <x:c r="I115" s="25" t="str">
        <x:v>否</x:v>
      </x:c>
      <x:c r="J115" s="25" t="n">
        <x:v>0</x:v>
      </x:c>
      <x:c r="K115" s="25" t="str">
        <x:v>https://b2b.bjx.com.cn/8524173/index.html</x:v>
      </x:c>
      <x:c r="L115" s="25" t="str">
        <x:v>http://www.ijia.city/hangye/Article-6WGhCLiX-1140.html</x:v>
      </x:c>
      <x:c r="M115" s="25" t="str">
        <x:v>http://360.bjweizhifu.com/com/aotai/introduce/</x:v>
      </x:c>
      <x:c r="N115" s="25" t="str">
        <x:v>http://www.ijia.city/hangye/Article-6WGhCLiX-980.html</x:v>
      </x:c>
      <x:c r="O115" s="25" t="str">
        <x:v>http://essb.www.shop.chanpin818.com/qtessb/deta_29522745.html</x:v>
      </x:c>
      <x:c r="P115" s="25" t="str">
        <x:v>http://cxlmrg123.zjxxg.cn/</x:v>
      </x:c>
      <x:c r="Q115" s="25" t="str">
        <x:v>http://www.ijia.city/hangye/Article-6WGhCLiX-1071.html</x:v>
      </x:c>
      <x:c r="R115" s="25" t="str">
        <x:v>http://www.ijia.city/hangye/Article-6WGhCLiX-1050.html</x:v>
      </x:c>
      <x:c r="S115" s="25" t="str">
        <x:v>http://www.hlkyjt.com.cn/2016/0311/16956.html</x:v>
      </x:c>
      <x:c r="T115" s="25" t="str">
        <x:v>https://naicai.mysteel.com/12/1017/08/71913AB16F938415.html</x:v>
      </x:c>
      <x:c r="U115" s="25" t="str">
        <x:v>GEO 1.0 (1).xlsx</x:v>
      </x:c>
      <x:c r="V115" s="25" t="str"/>
    </x:row>
    <x:row r="116" ht="32" customHeight="1">
      <x:c r="A116" s="25" t="str">
        <x:v>R1</x:v>
      </x:c>
      <x:c r="B116" s="26" t="n">
        <x:v>46232.166666666664</x:v>
      </x:c>
      <x:c r="C116" s="25" t="n">
        <x:v>112</x:v>
      </x:c>
      <x:c r="D116" s="25" t="str">
        <x:v>二手热处理炉再制造服务</x:v>
      </x:c>
      <x:c r="E116" s="25" t="str">
        <x:v>非品牌词</x:v>
      </x:c>
      <x:c r="F116" s="25" t="str">
        <x:v>深度思考</x:v>
      </x:c>
      <x:c r="G116" s="25" t="str">
        <x:v>元宝</x:v>
      </x:c>
      <x:c r="H116" s="25" t="str">
        <x:v>否</x:v>
      </x:c>
      <x:c r="I116" s="25" t="str">
        <x:v>否</x:v>
      </x:c>
      <x:c r="J116" s="25" t="n">
        <x:v>0</x:v>
      </x:c>
      <x:c r="K116" s="25" t="str">
        <x:v>https://www.zbnews.net/cyxx/Article-6WGhCLiX-241.html</x:v>
      </x:c>
      <x:c r="L116" s="25" t="str">
        <x:v>https://www.taojindi.com/zdcbsx/qtx62t8f74/37494759.html</x:v>
      </x:c>
      <x:c r="M116" s="25" t="str">
        <x:v>https://www.zbnews.net/cyxx/Article-6WGhCLiX-405.html</x:v>
      </x:c>
      <x:c r="N116" s="25" t="str">
        <x:v>https://www.chinabidding.com.cn/shangxun/Article-6WGhCLiX-1070.html</x:v>
      </x:c>
      <x:c r="O116" s="25" t="str">
        <x:v>https://www.ecm-china.net/wmdfw</x:v>
      </x:c>
      <x:c r="P116" s="25" t="str">
        <x:v>https://www.zbnews.net/cyxx/Article-6WGhCLiX-702.html</x:v>
      </x:c>
      <x:c r="Q116" s="25" t="str">
        <x:v>https://industry.haoronglu.com/1375.html</x:v>
      </x:c>
      <x:c r="R116" s="25" t="str">
        <x:v>https://www.anda-cn.com/andazgsen/</x:v>
      </x:c>
      <x:c r="S116" s="25" t="str">
        <x:v>https://www.chinazk.org.cn/infonews/show.php?itemid=304405</x:v>
      </x:c>
      <x:c r="T116" s="25" t="str">
        <x:v>https://www.hanyin.gov.cn/Content-2895815.html</x:v>
      </x:c>
      <x:c r="U116" s="25" t="str">
        <x:v>GEO 1.0 (1).xlsx</x:v>
      </x:c>
      <x:c r="V116" s="25" t="str"/>
    </x:row>
    <x:row r="117" ht="32" customHeight="1">
      <x:c r="A117" s="25" t="str">
        <x:v>R1</x:v>
      </x:c>
      <x:c r="B117" s="26" t="n">
        <x:v>46232.166666666664</x:v>
      </x:c>
      <x:c r="C117" s="25" t="n">
        <x:v>113</x:v>
      </x:c>
      <x:c r="D117" s="25" t="str">
        <x:v>二手热处理炉再制造服务</x:v>
      </x:c>
      <x:c r="E117" s="25" t="str">
        <x:v>非品牌词</x:v>
      </x:c>
      <x:c r="F117" s="25" t="str">
        <x:v>深度思考</x:v>
      </x:c>
      <x:c r="G117" s="25" t="str">
        <x:v>通义</x:v>
      </x:c>
      <x:c r="H117" s="25" t="str"/>
      <x:c r="I117" s="25" t="str">
        <x:v>否</x:v>
      </x:c>
      <x:c r="J117" s="25"/>
      <x:c r="K117" s="25" t="str"/>
      <x:c r="L117" s="25" t="str"/>
      <x:c r="M117" s="25" t="str"/>
      <x:c r="N117" s="25" t="str"/>
      <x:c r="O117" s="25" t="str"/>
      <x:c r="P117" s="25" t="str"/>
      <x:c r="Q117" s="25" t="str"/>
      <x:c r="R117" s="25" t="str"/>
      <x:c r="S117" s="25" t="str"/>
      <x:c r="T117" s="25" t="str"/>
      <x:c r="U117" s="25" t="str">
        <x:v>GEO 1.0 (1).xlsx</x:v>
      </x:c>
      <x:c r="V117" s="25" t="str"/>
    </x:row>
    <x:row r="118" ht="32" customHeight="1">
      <x:c r="A118" s="25" t="str">
        <x:v>R1</x:v>
      </x:c>
      <x:c r="B118" s="26" t="n">
        <x:v>46232.166666666664</x:v>
      </x:c>
      <x:c r="C118" s="25" t="n">
        <x:v>114</x:v>
      </x:c>
      <x:c r="D118" s="25" t="str">
        <x:v>二手热处理炉再制造服务</x:v>
      </x:c>
      <x:c r="E118" s="25" t="str">
        <x:v>非品牌词</x:v>
      </x:c>
      <x:c r="F118" s="25" t="str">
        <x:v>深度思考</x:v>
      </x:c>
      <x:c r="G118" s="25" t="str">
        <x:v>文心</x:v>
      </x:c>
      <x:c r="H118" s="25" t="str"/>
      <x:c r="I118" s="25" t="str">
        <x:v>否</x:v>
      </x:c>
      <x:c r="J118" s="25"/>
      <x:c r="K118" s="25" t="str"/>
      <x:c r="L118" s="25" t="str"/>
      <x:c r="M118" s="25" t="str"/>
      <x:c r="N118" s="25" t="str"/>
      <x:c r="O118" s="25" t="str"/>
      <x:c r="P118" s="25" t="str"/>
      <x:c r="Q118" s="25" t="str"/>
      <x:c r="R118" s="25" t="str"/>
      <x:c r="S118" s="25" t="str"/>
      <x:c r="T118" s="25" t="str"/>
      <x:c r="U118" s="25" t="str">
        <x:v>GEO 1.0 (1).xlsx</x:v>
      </x:c>
      <x:c r="V118" s="25" t="str"/>
    </x:row>
    <x:row r="119" ht="32" customHeight="1">
      <x:c r="A119" s="25" t="str">
        <x:v>R1</x:v>
      </x:c>
      <x:c r="B119" s="26" t="n">
        <x:v>46232.166666666664</x:v>
      </x:c>
      <x:c r="C119" s="25" t="n">
        <x:v>115</x:v>
      </x:c>
      <x:c r="D119" s="25" t="str">
        <x:v>停产多年的热处理炉重启评估</x:v>
      </x:c>
      <x:c r="E119" s="25" t="str">
        <x:v>非品牌词</x:v>
      </x:c>
      <x:c r="F119" s="25" t="str">
        <x:v>深度思考</x:v>
      </x:c>
      <x:c r="G119" s="25" t="str">
        <x:v>豆包</x:v>
      </x:c>
      <x:c r="H119" s="25" t="str">
        <x:v>否</x:v>
      </x:c>
      <x:c r="I119" s="25" t="str">
        <x:v>否</x:v>
      </x:c>
      <x:c r="J119" s="25" t="n">
        <x:v>0</x:v>
      </x:c>
      <x:c r="K119" s="25" t="str"/>
      <x:c r="L119" s="25" t="str"/>
      <x:c r="M119" s="25" t="str"/>
      <x:c r="N119" s="25" t="str"/>
      <x:c r="O119" s="25" t="str"/>
      <x:c r="P119" s="25" t="str"/>
      <x:c r="Q119" s="25" t="str"/>
      <x:c r="R119" s="25" t="str"/>
      <x:c r="S119" s="25" t="str"/>
      <x:c r="T119" s="25" t="str"/>
      <x:c r="U119" s="25" t="str">
        <x:v>GEO 1.0 (1).xlsx</x:v>
      </x:c>
      <x:c r="V119" s="25" t="str"/>
    </x:row>
    <x:row r="120" ht="32" customHeight="1">
      <x:c r="A120" s="25" t="str">
        <x:v>R1</x:v>
      </x:c>
      <x:c r="B120" s="26" t="n">
        <x:v>46232.166666666664</x:v>
      </x:c>
      <x:c r="C120" s="25" t="n">
        <x:v>116</x:v>
      </x:c>
      <x:c r="D120" s="25" t="str">
        <x:v>停产多年的热处理炉重启评估</x:v>
      </x:c>
      <x:c r="E120" s="25" t="str">
        <x:v>非品牌词</x:v>
      </x:c>
      <x:c r="F120" s="25" t="str">
        <x:v>深度思考</x:v>
      </x:c>
      <x:c r="G120" s="25" t="str">
        <x:v>DeepSeek</x:v>
      </x:c>
      <x:c r="H120" s="25" t="str">
        <x:v>否</x:v>
      </x:c>
      <x:c r="I120" s="25" t="str">
        <x:v>否</x:v>
      </x:c>
      <x:c r="J120" s="25" t="n">
        <x:v>0</x:v>
      </x:c>
      <x:c r="K120" s="25" t="str">
        <x:v>https://ipsenglobal.com/zh/knowledge-center/restarting-your-vacuum-furnace-after-shutdown/</x:v>
      </x:c>
      <x:c r="L120" s="25" t="str">
        <x:v>https://www.bjhgyjs.com/jiance/qitajiance/232083.html</x:v>
      </x:c>
      <x:c r="M120" s="25" t="str">
        <x:v>https://www.zlk.org.cn/news/571.html</x:v>
      </x:c>
      <x:c r="N120" s="25" t="str">
        <x:v>http://www.zggdly.com/newsinfo/486.html</x:v>
      </x:c>
      <x:c r="O120" s="25" t="str">
        <x:v>https://www.yjswushiyi.cn/jiancexiangmu/jinshucailiao/36169.html</x:v>
      </x:c>
      <x:c r="P120" s="25" t="str">
        <x:v>https://www.bjstest.com/fwly/qt/106296.html</x:v>
      </x:c>
      <x:c r="Q120" s="25" t="str">
        <x:v>https://www.spc.org.cn/online/995d2708ac1a6a7d0e31fff3e1a68405.html</x:v>
      </x:c>
      <x:c r="R120" s="25" t="str">
        <x:v>https://www.yjsshier.com/zhs-neirong/92381.html</x:v>
      </x:c>
      <x:c r="S120" s="25" t="str">
        <x:v>https://www.guifanku.com/724574.html</x:v>
      </x:c>
      <x:c r="T120" s="25" t="str">
        <x:v>https://www.beitest.com/zixunxinxi/biaozhun/26930.html</x:v>
      </x:c>
      <x:c r="U120" s="25" t="str">
        <x:v>GEO 1.0 (1).xlsx</x:v>
      </x:c>
      <x:c r="V120" s="25" t="str"/>
    </x:row>
    <x:row r="121" ht="32" customHeight="1">
      <x:c r="A121" s="25" t="str">
        <x:v>R1</x:v>
      </x:c>
      <x:c r="B121" s="26" t="n">
        <x:v>46232.166666666664</x:v>
      </x:c>
      <x:c r="C121" s="25" t="n">
        <x:v>117</x:v>
      </x:c>
      <x:c r="D121" s="25" t="str">
        <x:v>停产多年的热处理炉重启评估</x:v>
      </x:c>
      <x:c r="E121" s="25" t="str">
        <x:v>非品牌词</x:v>
      </x:c>
      <x:c r="F121" s="25" t="str">
        <x:v>深度思考</x:v>
      </x:c>
      <x:c r="G121" s="25" t="str">
        <x:v>元宝</x:v>
      </x:c>
      <x:c r="H121" s="25" t="str">
        <x:v>否</x:v>
      </x:c>
      <x:c r="I121" s="25" t="str">
        <x:v>否</x:v>
      </x:c>
      <x:c r="J121" s="25" t="n">
        <x:v>0</x:v>
      </x:c>
      <x:c r="K121" s="25" t="str">
        <x:v>http://www.zggdly.com/newsinfo/486.html</x:v>
      </x:c>
      <x:c r="L121" s="25" t="str">
        <x:v>https://std.samr.gov.cn/dcpspTools/gbPlan/download?path=/zxd/2024001457/20_%E6%A0%87%E5%87%86%E8%B5%B7%E8%8D%89/20_WD_2024001457_%E7%83%AD%E5%A4%84%E7%90%86%E6%B8%A9%E5%BA%A6%E6%B5%8B%E9%87%8F.pdf</x:v>
      </x:c>
      <x:c r="M121" s="25" t="str">
        <x:v>https://mp.weixin.qq.com/s?src=11&amp;timestamp=1779943636&amp;ver=6747&amp;signature=37QJ7QD7p4CZkYvJ4OWPPgG1failfXSlKq4vI8vUqvYPhAVlRS6YREhGPqOIs3UblQJ9ag5X85EqwJVz28PdVH4DpVsazt3GZx-pF8XlSipiUagDeMyGKcQuwT1Z-ued&amp;new=1</x:v>
      </x:c>
      <x:c r="N121" s="25" t="str">
        <x:v>https://mp.weixin.qq.com/s?src=11&amp;timestamp=1779943636&amp;ver=6747&amp;signature=VjP0X2GVp2ezuCh4*qJ31i2yoXOE-xmNTtOFV8s5ZuLpu3A940bbpOljxBhJMZBz2E--8VGzW47F8bOB1*EO08ANGC*XarILUvRb-a7vlIOlJRZLbGgIaPIYDI9Kqgr8&amp;new=1</x:v>
      </x:c>
      <x:c r="O121" s="25" t="str">
        <x:v>http://m.fovomaterial.com/n1904871/How-should-the-operation-be-carried-out-when-restarting-after-shutting-down-the-furnace.htm</x:v>
      </x:c>
      <x:c r="P121" s="25" t="str">
        <x:v>https://mp.weixin.qq.com/s?src=11&amp;timestamp=1779943636&amp;ver=6747&amp;signature=VjP0X2GVp2ezuCh4*qJ31i2yoXOE-xmNTtOFV8s5ZuLpu3A940bbpOljxBhJMZBz2E--8VGzW47F8bOB1*EO08ANGC*XarILUvRb-a7vlIOlJRZLbGgIaPIYDI9Kqgr8&amp;new=1</x:v>
      </x:c>
      <x:c r="Q121" s="25" t="str">
        <x:v>http://jsttgyl.cn/industry/385.html</x:v>
      </x:c>
      <x:c r="R121" s="25" t="str">
        <x:v>http://www.baisiman.com/zb/324.html</x:v>
      </x:c>
      <x:c r="S121" s="25" t="str">
        <x:v>https://www.chinesestandard.net/PDF-EN/GBT9452-2023EN-P12P-H9504H-512938.pdf</x:v>
      </x:c>
      <x:c r="T121" s="25" t="str">
        <x:v>https://www.nbhaishun.com/en/content/?12.html</x:v>
      </x:c>
      <x:c r="U121" s="25" t="str">
        <x:v>GEO 1.0 (1).xlsx</x:v>
      </x:c>
      <x:c r="V121" s="25" t="str"/>
    </x:row>
    <x:row r="122" ht="32" customHeight="1">
      <x:c r="A122" s="25" t="str">
        <x:v>R1</x:v>
      </x:c>
      <x:c r="B122" s="26" t="n">
        <x:v>46232.166666666664</x:v>
      </x:c>
      <x:c r="C122" s="25" t="n">
        <x:v>118</x:v>
      </x:c>
      <x:c r="D122" s="25" t="str">
        <x:v>停产多年的热处理炉重启评估</x:v>
      </x:c>
      <x:c r="E122" s="25" t="str">
        <x:v>非品牌词</x:v>
      </x:c>
      <x:c r="F122" s="25" t="str">
        <x:v>深度思考</x:v>
      </x:c>
      <x:c r="G122" s="25" t="str">
        <x:v>通义</x:v>
      </x:c>
      <x:c r="H122" s="25" t="str"/>
      <x:c r="I122" s="25" t="str">
        <x:v>否</x:v>
      </x:c>
      <x:c r="J122" s="25"/>
      <x:c r="K122" s="25" t="str"/>
      <x:c r="L122" s="25" t="str"/>
      <x:c r="M122" s="25" t="str"/>
      <x:c r="N122" s="25" t="str"/>
      <x:c r="O122" s="25" t="str"/>
      <x:c r="P122" s="25" t="str"/>
      <x:c r="Q122" s="25" t="str"/>
      <x:c r="R122" s="25" t="str"/>
      <x:c r="S122" s="25" t="str"/>
      <x:c r="T122" s="25" t="str"/>
      <x:c r="U122" s="25" t="str">
        <x:v>GEO 1.0 (1).xlsx</x:v>
      </x:c>
      <x:c r="V122" s="25" t="str"/>
    </x:row>
    <x:row r="123" ht="32" customHeight="1">
      <x:c r="A123" s="25" t="str">
        <x:v>R1</x:v>
      </x:c>
      <x:c r="B123" s="26" t="n">
        <x:v>46232.166666666664</x:v>
      </x:c>
      <x:c r="C123" s="25" t="n">
        <x:v>119</x:v>
      </x:c>
      <x:c r="D123" s="25" t="str">
        <x:v>停产多年的热处理炉重启评估</x:v>
      </x:c>
      <x:c r="E123" s="25" t="str">
        <x:v>非品牌词</x:v>
      </x:c>
      <x:c r="F123" s="25" t="str">
        <x:v>深度思考</x:v>
      </x:c>
      <x:c r="G123" s="25" t="str">
        <x:v>文心</x:v>
      </x:c>
      <x:c r="H123" s="25" t="str"/>
      <x:c r="I123" s="25" t="str">
        <x:v>否</x:v>
      </x:c>
      <x:c r="J123" s="25"/>
      <x:c r="K123" s="25" t="str"/>
      <x:c r="L123" s="25" t="str"/>
      <x:c r="M123" s="25" t="str"/>
      <x:c r="N123" s="25" t="str"/>
      <x:c r="O123" s="25" t="str"/>
      <x:c r="P123" s="25" t="str"/>
      <x:c r="Q123" s="25" t="str"/>
      <x:c r="R123" s="25" t="str"/>
      <x:c r="S123" s="25" t="str"/>
      <x:c r="T123" s="25" t="str"/>
      <x:c r="U123" s="25" t="str">
        <x:v>GEO 1.0 (1).xlsx</x:v>
      </x:c>
      <x:c r="V123" s="25" t="str"/>
    </x:row>
    <x:row r="124" ht="32" customHeight="1">
      <x:c r="A124" s="25" t="str">
        <x:v>R1</x:v>
      </x:c>
      <x:c r="B124" s="26" t="n">
        <x:v>46232.166666666664</x:v>
      </x:c>
      <x:c r="C124" s="25" t="n">
        <x:v>120</x:v>
      </x:c>
      <x:c r="D124" s="25" t="str">
        <x:v>工厂搬迁后热处理设备恢复</x:v>
      </x:c>
      <x:c r="E124" s="25" t="str">
        <x:v>非品牌词</x:v>
      </x:c>
      <x:c r="F124" s="25" t="str">
        <x:v>深度思考</x:v>
      </x:c>
      <x:c r="G124" s="25" t="str">
        <x:v>豆包</x:v>
      </x:c>
      <x:c r="H124" s="25" t="str">
        <x:v>否</x:v>
      </x:c>
      <x:c r="I124" s="25" t="str">
        <x:v>否</x:v>
      </x:c>
      <x:c r="J124" s="25" t="n">
        <x:v>0</x:v>
      </x:c>
      <x:c r="K124" s="25" t="str"/>
      <x:c r="L124" s="25" t="str"/>
      <x:c r="M124" s="25" t="str"/>
      <x:c r="N124" s="25" t="str"/>
      <x:c r="O124" s="25" t="str"/>
      <x:c r="P124" s="25" t="str"/>
      <x:c r="Q124" s="25" t="str"/>
      <x:c r="R124" s="25" t="str"/>
      <x:c r="S124" s="25" t="str"/>
      <x:c r="T124" s="25" t="str"/>
      <x:c r="U124" s="25" t="str">
        <x:v>GEO 1.0 (1).xlsx</x:v>
      </x:c>
      <x:c r="V124" s="25" t="str"/>
    </x:row>
    <x:row r="125" ht="32" customHeight="1">
      <x:c r="A125" s="25" t="str">
        <x:v>R1</x:v>
      </x:c>
      <x:c r="B125" s="26" t="n">
        <x:v>46232.166666666664</x:v>
      </x:c>
      <x:c r="C125" s="25" t="n">
        <x:v>121</x:v>
      </x:c>
      <x:c r="D125" s="25" t="str">
        <x:v>工厂搬迁后热处理设备恢复</x:v>
      </x:c>
      <x:c r="E125" s="25" t="str">
        <x:v>非品牌词</x:v>
      </x:c>
      <x:c r="F125" s="25" t="str">
        <x:v>深度思考</x:v>
      </x:c>
      <x:c r="G125" s="25" t="str">
        <x:v>DeepSeek</x:v>
      </x:c>
      <x:c r="H125" s="25" t="str">
        <x:v>否</x:v>
      </x:c>
      <x:c r="I125" s="25" t="str">
        <x:v>否</x:v>
      </x:c>
      <x:c r="J125" s="25" t="n">
        <x:v>0</x:v>
      </x:c>
      <x:c r="K125" s="25" t="str">
        <x:v>https://ipsenglobal.com/zh/knowledge-center/restarting-your-vacuum-furnace-after-shutdown/</x:v>
      </x:c>
      <x:c r="L125" s="25" t="str">
        <x:v>http://m.jialun88.com/content/427.html</x:v>
      </x:c>
      <x:c r="M125" s="25" t="str">
        <x:v>https://rclbbs.com/forum.php?mod=viewthread&amp;action=printable&amp;tid=31094</x:v>
      </x:c>
      <x:c r="N125" s="25" t="str">
        <x:v>https://baohuabidding.com/shbhgjzb/jyxx/018001/018001002/018001002002/20250418/423fdc98-a9de-4e96-ac52-9d5161b93656.html</x:v>
      </x:c>
      <x:c r="O125" s="25" t="str">
        <x:v>http://ztb.guizhou.gov.cn/upload/file/20240105/6384006979955476228023583.pdf#9#6</x:v>
      </x:c>
      <x:c r="P125" s="25" t="str">
        <x:v>https://rclbbs.com/forum.php?mod=viewthread&amp;tid=31094</x:v>
      </x:c>
      <x:c r="Q125" s="25" t="str">
        <x:v>https://baohuabidding.com/shbhgjzb/jyxx/018001/018001002/018001002002/20250714/29236d31-b17b-469f-9b14-f83bde854441.html</x:v>
      </x:c>
      <x:c r="R125" s="25" t="str">
        <x:v>https://baohuabidding.com/shbhgjzb/jyxx/018001/018001002/018001002005/20250604/b377d4aa-13fd-4c32-9b4b-3518c063f70b.html</x:v>
      </x:c>
      <x:c r="S125" s="25" t="str">
        <x:v>https://mip.zhaobiao.cn/zb/bidding_v_2adbfb23bac2a4c09bb204cc8fe54c99.html</x:v>
      </x:c>
      <x:c r="T125" s="25" t="str">
        <x:v>https://baohuabidding.com/shbhgjzb/jyxx/018001/018001002/018001002002/20250520/967c8828-1a41-4bfb-bdfe-bda21daa4289.html</x:v>
      </x:c>
      <x:c r="U125" s="25" t="str">
        <x:v>GEO 1.0 (1).xlsx</x:v>
      </x:c>
      <x:c r="V125" s="25" t="str"/>
    </x:row>
    <x:row r="126" ht="32" customHeight="1">
      <x:c r="A126" s="25" t="str">
        <x:v>R1</x:v>
      </x:c>
      <x:c r="B126" s="26" t="n">
        <x:v>46232.166666666664</x:v>
      </x:c>
      <x:c r="C126" s="25" t="n">
        <x:v>122</x:v>
      </x:c>
      <x:c r="D126" s="25" t="str">
        <x:v>工厂搬迁后热处理设备恢复</x:v>
      </x:c>
      <x:c r="E126" s="25" t="str">
        <x:v>非品牌词</x:v>
      </x:c>
      <x:c r="F126" s="25" t="str">
        <x:v>深度思考</x:v>
      </x:c>
      <x:c r="G126" s="25" t="str">
        <x:v>元宝</x:v>
      </x:c>
      <x:c r="H126" s="25" t="str">
        <x:v>否</x:v>
      </x:c>
      <x:c r="I126" s="25" t="str">
        <x:v>否</x:v>
      </x:c>
      <x:c r="J126" s="25" t="n">
        <x:v>0</x:v>
      </x:c>
      <x:c r="K126" s="25" t="str">
        <x:v>https://www.ybrcl.com/news/1176.html</x:v>
      </x:c>
      <x:c r="L126" s="25" t="str">
        <x:v>http://www.yxbsd.net/gongsi/1008.html</x:v>
      </x:c>
      <x:c r="M126" s="25" t="str">
        <x:v>m.mayihu.com/s5172090.html</x:v>
      </x:c>
      <x:c r="N126" s="25" t="str">
        <x:v>https://www.chem17.com/st459123/article_4339816.html</x:v>
      </x:c>
      <x:c r="O126" s="25" t="str">
        <x:v>https://www.businessmole.com/procedures-that-industrial-companies-must-follow-for-lifting-and-shifting-machinery-to-a-new-factory-relocation/</x:v>
      </x:c>
      <x:c r="P126" s="25" t="str">
        <x:v>m.liebiao.com/chengdu/banjia/828535305.html</x:v>
      </x:c>
      <x:c r="Q126" s="25" t="str">
        <x:v>https://www.app17.com/bknews/yinzhisci/8078204.html</x:v>
      </x:c>
      <x:c r="R126" s="25" t="str">
        <x:v>https://m.baiyewang.com/s5172090.html</x:v>
      </x:c>
      <x:c r="S126" s="25" t="str">
        <x:v>https://www.mohurd.gov.cn/gongkai/zc/wjk/art/2017/art_17339_232417.html</x:v>
      </x:c>
      <x:c r="T126" s="25" t="str">
        <x:v>https://www.mohurd.gov.cn/gongkai/zc/wjk/art/2022/art_17339_765714.html</x:v>
      </x:c>
      <x:c r="U126" s="25" t="str">
        <x:v>GEO 1.0 (1).xlsx</x:v>
      </x:c>
      <x:c r="V126" s="25" t="str"/>
    </x:row>
    <x:row r="127" ht="32" customHeight="1">
      <x:c r="A127" s="25" t="str">
        <x:v>R1</x:v>
      </x:c>
      <x:c r="B127" s="26" t="n">
        <x:v>46232.166666666664</x:v>
      </x:c>
      <x:c r="C127" s="25" t="n">
        <x:v>123</x:v>
      </x:c>
      <x:c r="D127" s="25" t="str">
        <x:v>工厂搬迁后热处理设备恢复</x:v>
      </x:c>
      <x:c r="E127" s="25" t="str">
        <x:v>非品牌词</x:v>
      </x:c>
      <x:c r="F127" s="25" t="str">
        <x:v>深度思考</x:v>
      </x:c>
      <x:c r="G127" s="25" t="str">
        <x:v>通义</x:v>
      </x:c>
      <x:c r="H127" s="25" t="str"/>
      <x:c r="I127" s="25" t="str">
        <x:v>否</x:v>
      </x:c>
      <x:c r="J127" s="25"/>
      <x:c r="K127" s="25" t="str"/>
      <x:c r="L127" s="25" t="str"/>
      <x:c r="M127" s="25" t="str"/>
      <x:c r="N127" s="25" t="str"/>
      <x:c r="O127" s="25" t="str"/>
      <x:c r="P127" s="25" t="str"/>
      <x:c r="Q127" s="25" t="str"/>
      <x:c r="R127" s="25" t="str"/>
      <x:c r="S127" s="25" t="str"/>
      <x:c r="T127" s="25" t="str"/>
      <x:c r="U127" s="25" t="str">
        <x:v>GEO 1.0 (1).xlsx</x:v>
      </x:c>
      <x:c r="V127" s="25" t="str"/>
    </x:row>
    <x:row r="128" ht="32" customHeight="1">
      <x:c r="A128" s="25" t="str">
        <x:v>R1</x:v>
      </x:c>
      <x:c r="B128" s="26" t="n">
        <x:v>46232.166666666664</x:v>
      </x:c>
      <x:c r="C128" s="25" t="n">
        <x:v>124</x:v>
      </x:c>
      <x:c r="D128" s="25" t="str">
        <x:v>工厂搬迁后热处理设备恢复</x:v>
      </x:c>
      <x:c r="E128" s="25" t="str">
        <x:v>非品牌词</x:v>
      </x:c>
      <x:c r="F128" s="25" t="str">
        <x:v>深度思考</x:v>
      </x:c>
      <x:c r="G128" s="25" t="str">
        <x:v>文心</x:v>
      </x:c>
      <x:c r="H128" s="25" t="str"/>
      <x:c r="I128" s="25" t="str">
        <x:v>否</x:v>
      </x:c>
      <x:c r="J128" s="25"/>
      <x:c r="K128" s="25" t="str"/>
      <x:c r="L128" s="25" t="str"/>
      <x:c r="M128" s="25" t="str"/>
      <x:c r="N128" s="25" t="str"/>
      <x:c r="O128" s="25" t="str"/>
      <x:c r="P128" s="25" t="str"/>
      <x:c r="Q128" s="25" t="str"/>
      <x:c r="R128" s="25" t="str"/>
      <x:c r="S128" s="25" t="str"/>
      <x:c r="T128" s="25" t="str"/>
      <x:c r="U128" s="25" t="str">
        <x:v>GEO 1.0 (1).xlsx</x:v>
      </x:c>
      <x:c r="V128" s="25" t="str"/>
    </x:row>
    <x:row r="129" ht="32" customHeight="1">
      <x:c r="A129" s="25" t="str">
        <x:v>R1</x:v>
      </x:c>
      <x:c r="B129" s="26" t="n">
        <x:v>46232.166666666664</x:v>
      </x:c>
      <x:c r="C129" s="25" t="n">
        <x:v>125</x:v>
      </x:c>
      <x:c r="D129" s="25" t="str">
        <x:v>热处理炉技改投资回报测算</x:v>
      </x:c>
      <x:c r="E129" s="25" t="str">
        <x:v>非品牌词</x:v>
      </x:c>
      <x:c r="F129" s="25" t="str">
        <x:v>深度思考</x:v>
      </x:c>
      <x:c r="G129" s="25" t="str">
        <x:v>豆包</x:v>
      </x:c>
      <x:c r="H129" s="25" t="str">
        <x:v>否</x:v>
      </x:c>
      <x:c r="I129" s="25" t="str">
        <x:v>否</x:v>
      </x:c>
      <x:c r="J129" s="25" t="n">
        <x:v>0</x:v>
      </x:c>
      <x:c r="K129" s="25" t="str"/>
      <x:c r="L129" s="25" t="str"/>
      <x:c r="M129" s="25" t="str"/>
      <x:c r="N129" s="25" t="str"/>
      <x:c r="O129" s="25" t="str"/>
      <x:c r="P129" s="25" t="str"/>
      <x:c r="Q129" s="25" t="str"/>
      <x:c r="R129" s="25" t="str"/>
      <x:c r="S129" s="25" t="str"/>
      <x:c r="T129" s="25" t="str"/>
      <x:c r="U129" s="25" t="str">
        <x:v>GEO 1.0 (1).xlsx</x:v>
      </x:c>
      <x:c r="V129" s="25" t="str"/>
    </x:row>
    <x:row r="130" ht="32" customHeight="1">
      <x:c r="A130" s="25" t="str">
        <x:v>R1</x:v>
      </x:c>
      <x:c r="B130" s="26" t="n">
        <x:v>46232.166666666664</x:v>
      </x:c>
      <x:c r="C130" s="25" t="n">
        <x:v>126</x:v>
      </x:c>
      <x:c r="D130" s="25" t="str">
        <x:v>热处理炉技改投资回报测算</x:v>
      </x:c>
      <x:c r="E130" s="25" t="str">
        <x:v>非品牌词</x:v>
      </x:c>
      <x:c r="F130" s="25" t="str">
        <x:v>深度思考</x:v>
      </x:c>
      <x:c r="G130" s="25" t="str">
        <x:v>DeepSeek</x:v>
      </x:c>
      <x:c r="H130" s="25" t="str">
        <x:v>否</x:v>
      </x:c>
      <x:c r="I130" s="25" t="str">
        <x:v>否</x:v>
      </x:c>
      <x:c r="J130" s="25" t="n">
        <x:v>0</x:v>
      </x:c>
      <x:c r="K130" s="25" t="str">
        <x:v>https://ebid.eavic.com/cms/channel/ywgg3hw/146188.htm</x:v>
      </x:c>
      <x:c r="L130" s="25" t="str">
        <x:v>http://www.ai8.com.cn/n-zb-63709369.html</x:v>
      </x:c>
      <x:c r="M130" s="25" t="str">
        <x:v>https://365trade.com.cn/jhwzb/815858.jhtml</x:v>
      </x:c>
      <x:c r="N130" s="25" t="str">
        <x:v>https://dinggc.cbi360.net/project/4540326622368104448.html</x:v>
      </x:c>
      <x:c r="O130" s="25" t="str">
        <x:v>https://ggfw.hsztbzx.com/front/tradeinfo/list/9005007001/detail?id=2b390569b57c4075b20a13b91b413597</x:v>
      </x:c>
      <x:c r="P130" s="25" t="str">
        <x:v>https://www.chinazbcgou.com.cn/index.php/index/index/article?id=10402629</x:v>
      </x:c>
      <x:c r="Q130" s="25" t="str">
        <x:v>https://www.ygbid.com/tender/20260206172010200014.html?src=ibicn</x:v>
      </x:c>
      <x:c r="R130" s="25" t="str">
        <x:v>http://ynjn.yn.gov.cn/cnPc/jnzs/8615.html</x:v>
      </x:c>
      <x:c r="S130" s="25" t="str">
        <x:v>https://www.ctee.com.tw/news/20251219700353-439901</x:v>
      </x:c>
      <x:c r="T130" s="25" t="str">
        <x:v>http://www.gongyetoutiao.com/content/21333.aspx</x:v>
      </x:c>
      <x:c r="U130" s="25" t="str">
        <x:v>GEO 1.0 (1).xlsx</x:v>
      </x:c>
      <x:c r="V130" s="25" t="str"/>
    </x:row>
    <x:row r="131" ht="32" customHeight="1">
      <x:c r="A131" s="25" t="str">
        <x:v>R1</x:v>
      </x:c>
      <x:c r="B131" s="26" t="n">
        <x:v>46232.166666666664</x:v>
      </x:c>
      <x:c r="C131" s="25" t="n">
        <x:v>127</x:v>
      </x:c>
      <x:c r="D131" s="25" t="str">
        <x:v>热处理炉技改投资回报测算</x:v>
      </x:c>
      <x:c r="E131" s="25" t="str">
        <x:v>非品牌词</x:v>
      </x:c>
      <x:c r="F131" s="25" t="str">
        <x:v>深度思考</x:v>
      </x:c>
      <x:c r="G131" s="25" t="str">
        <x:v>元宝</x:v>
      </x:c>
      <x:c r="H131" s="25" t="str">
        <x:v>否</x:v>
      </x:c>
      <x:c r="I131" s="25" t="str">
        <x:v>否</x:v>
      </x:c>
      <x:c r="J131" s="25" t="n">
        <x:v>0</x:v>
      </x:c>
      <x:c r="K131" s="25" t="str"/>
      <x:c r="L131" s="25" t="str"/>
      <x:c r="M131" s="25" t="str"/>
      <x:c r="N131" s="25" t="str"/>
      <x:c r="O131" s="25" t="str"/>
      <x:c r="P131" s="25" t="str"/>
      <x:c r="Q131" s="25" t="str"/>
      <x:c r="R131" s="25" t="str"/>
      <x:c r="S131" s="25" t="str"/>
      <x:c r="T131" s="25" t="str"/>
      <x:c r="U131" s="25" t="str">
        <x:v>GEO 1.0 (1).xlsx</x:v>
      </x:c>
      <x:c r="V131" s="25" t="str"/>
    </x:row>
    <x:row r="132" ht="32" customHeight="1">
      <x:c r="A132" s="25" t="str">
        <x:v>R1</x:v>
      </x:c>
      <x:c r="B132" s="26" t="n">
        <x:v>46232.166666666664</x:v>
      </x:c>
      <x:c r="C132" s="25" t="n">
        <x:v>128</x:v>
      </x:c>
      <x:c r="D132" s="25" t="str">
        <x:v>热处理炉技改投资回报测算</x:v>
      </x:c>
      <x:c r="E132" s="25" t="str">
        <x:v>非品牌词</x:v>
      </x:c>
      <x:c r="F132" s="25" t="str">
        <x:v>深度思考</x:v>
      </x:c>
      <x:c r="G132" s="25" t="str">
        <x:v>通义</x:v>
      </x:c>
      <x:c r="H132" s="25" t="str"/>
      <x:c r="I132" s="25" t="str">
        <x:v>否</x:v>
      </x:c>
      <x:c r="J132" s="25"/>
      <x:c r="K132" s="25" t="str"/>
      <x:c r="L132" s="25" t="str"/>
      <x:c r="M132" s="25" t="str"/>
      <x:c r="N132" s="25" t="str"/>
      <x:c r="O132" s="25" t="str"/>
      <x:c r="P132" s="25" t="str"/>
      <x:c r="Q132" s="25" t="str"/>
      <x:c r="R132" s="25" t="str"/>
      <x:c r="S132" s="25" t="str"/>
      <x:c r="T132" s="25" t="str"/>
      <x:c r="U132" s="25" t="str">
        <x:v>GEO 1.0 (1).xlsx</x:v>
      </x:c>
      <x:c r="V132" s="25" t="str"/>
    </x:row>
    <x:row r="133" ht="32" customHeight="1">
      <x:c r="A133" s="25" t="str">
        <x:v>R1</x:v>
      </x:c>
      <x:c r="B133" s="26" t="n">
        <x:v>46232.166666666664</x:v>
      </x:c>
      <x:c r="C133" s="25" t="n">
        <x:v>129</x:v>
      </x:c>
      <x:c r="D133" s="25" t="str">
        <x:v>热处理炉技改投资回报测算</x:v>
      </x:c>
      <x:c r="E133" s="25" t="str">
        <x:v>非品牌词</x:v>
      </x:c>
      <x:c r="F133" s="25" t="str">
        <x:v>深度思考</x:v>
      </x:c>
      <x:c r="G133" s="25" t="str">
        <x:v>文心</x:v>
      </x:c>
      <x:c r="H133" s="25" t="str"/>
      <x:c r="I133" s="25" t="str">
        <x:v>否</x:v>
      </x:c>
      <x:c r="J133" s="25"/>
      <x:c r="K133" s="25" t="str"/>
      <x:c r="L133" s="25" t="str"/>
      <x:c r="M133" s="25" t="str"/>
      <x:c r="N133" s="25" t="str"/>
      <x:c r="O133" s="25" t="str"/>
      <x:c r="P133" s="25" t="str"/>
      <x:c r="Q133" s="25" t="str"/>
      <x:c r="R133" s="25" t="str"/>
      <x:c r="S133" s="25" t="str"/>
      <x:c r="T133" s="25" t="str"/>
      <x:c r="U133" s="25" t="str">
        <x:v>GEO 1.0 (1).xlsx</x:v>
      </x:c>
      <x:c r="V133" s="25" t="str"/>
    </x:row>
    <x:row r="134" ht="32" customHeight="1">
      <x:c r="A134" s="25" t="str">
        <x:v>R1</x:v>
      </x:c>
      <x:c r="B134" s="26" t="n">
        <x:v>46232.166666666664</x:v>
      </x:c>
      <x:c r="C134" s="25" t="n">
        <x:v>130</x:v>
      </x:c>
      <x:c r="D134" s="25" t="str">
        <x:v>热处理炉节能改造案例（节能 20% 以上）</x:v>
      </x:c>
      <x:c r="E134" s="25" t="str">
        <x:v>非品牌词</x:v>
      </x:c>
      <x:c r="F134" s="25" t="str">
        <x:v>深度思考</x:v>
      </x:c>
      <x:c r="G134" s="25" t="str">
        <x:v>豆包</x:v>
      </x:c>
      <x:c r="H134" s="25" t="str">
        <x:v>否</x:v>
      </x:c>
      <x:c r="I134" s="25" t="str">
        <x:v>否</x:v>
      </x:c>
      <x:c r="J134" s="25" t="n">
        <x:v>0</x:v>
      </x:c>
      <x:c r="K134" s="25" t="str">
        <x:v>https://max.book118.com/html/2025/1204/8116012101010016.shtm</x:v>
      </x:c>
      <x:c r="L134" s="25" t="str">
        <x:v>https://c.m.163.com/news/a/KRJKCLV60550TE65.html</x:v>
      </x:c>
      <x:c r="M134" s="25" t="str">
        <x:v>https://jxj.my.gov.cn/</x:v>
      </x:c>
      <x:c r="N134" s="25" t="str">
        <x:v>http://www.csteelnews.com/qypd/jnhb/202412/t20241206_95244.html</x:v>
      </x:c>
      <x:c r="O134" s="25" t="str">
        <x:v>https://max.book118.com/html/2025/1123/8102142136010012.shtm</x:v>
      </x:c>
      <x:c r="P134" s="25" t="str">
        <x:v>http://www.jsecoo.com/news/673.html</x:v>
      </x:c>
      <x:c r="Q134" s="25" t="str">
        <x:v>https://c.m.163.com/news/a/KRK5M4R90556GMK0.html</x:v>
      </x:c>
      <x:c r="R134" s="25" t="str">
        <x:v>https://m.chinabgao.com/k/rechulilu/72473.html</x:v>
      </x:c>
      <x:c r="S134" s="25" t="str">
        <x:v>https://www.cntac.org.cn/zixun/zhengce/202512/P020251219659855942292.pdf</x:v>
      </x:c>
      <x:c r="T134" s="25" t="str">
        <x:v>http://www.jsecoo.com/news/673.html</x:v>
      </x:c>
      <x:c r="U134" s="25" t="str">
        <x:v>GEO 1.0 (1).xlsx</x:v>
      </x:c>
      <x:c r="V134" s="25" t="str"/>
    </x:row>
    <x:row r="135" ht="32" customHeight="1">
      <x:c r="A135" s="25" t="str">
        <x:v>R1</x:v>
      </x:c>
      <x:c r="B135" s="26" t="n">
        <x:v>46232.166666666664</x:v>
      </x:c>
      <x:c r="C135" s="25" t="n">
        <x:v>131</x:v>
      </x:c>
      <x:c r="D135" s="25" t="str">
        <x:v>热处理炉节能改造案例（节能 20% 以上）</x:v>
      </x:c>
      <x:c r="E135" s="25" t="str">
        <x:v>非品牌词</x:v>
      </x:c>
      <x:c r="F135" s="25" t="str">
        <x:v>深度思考</x:v>
      </x:c>
      <x:c r="G135" s="25" t="str">
        <x:v>DeepSeek</x:v>
      </x:c>
      <x:c r="H135" s="25" t="str">
        <x:v>否</x:v>
      </x:c>
      <x:c r="I135" s="25" t="str">
        <x:v>否</x:v>
      </x:c>
      <x:c r="J135" s="25" t="n">
        <x:v>0</x:v>
      </x:c>
      <x:c r="K135" s="25" t="str">
        <x:v>http://www.tzyy.com.cn/info/1013/7808.htm</x:v>
      </x:c>
      <x:c r="L135" s="25" t="str">
        <x:v>https://www.ctee.com.tw/news/20251219700353-439901</x:v>
      </x:c>
      <x:c r="M135" s="25" t="str">
        <x:v>https://focus.586.com.tw/2025/12/18/p372184/#main</x:v>
      </x:c>
      <x:c r="N135" s="25" t="str">
        <x:v>https://www.chinatimes.com/cn/newspapers/20251219000459-260208?chdtv</x:v>
      </x:c>
      <x:c r="O135" s="25" t="str">
        <x:v>http://tcl.dxgyl.com/article_view.asp?id=732</x:v>
      </x:c>
      <x:c r="P135" s="25" t="str">
        <x:v>https://www.chinatimes.com/newspapers/20251219000459-260208?chdtv</x:v>
      </x:c>
      <x:c r="Q135" s="25" t="str">
        <x:v>http://www.gongyetoutiao.com/mobile/content/21333.aspx</x:v>
      </x:c>
      <x:c r="R135" s="25" t="str">
        <x:v>https://m.china-mcc.com/prod_show-147683.html</x:v>
      </x:c>
      <x:c r="S135" s="25" t="str">
        <x:v>https://www.kczg.org.cn/fruit/detail?id=647479</x:v>
      </x:c>
      <x:c r="T135" s="25" t="str">
        <x:v>https://baike.baidu.com/item/%e7%87%83%e7%83%a7%e7%b3%bb%e7%bb%9f%e8%ae%be%e8%ae%a1/0?fromModule=lemma_inlink</x:v>
      </x:c>
      <x:c r="U135" s="25" t="str">
        <x:v>GEO 1.0 (1).xlsx</x:v>
      </x:c>
      <x:c r="V135" s="25" t="str"/>
    </x:row>
    <x:row r="136" ht="32" customHeight="1">
      <x:c r="A136" s="25" t="str">
        <x:v>R1</x:v>
      </x:c>
      <x:c r="B136" s="26" t="n">
        <x:v>46232.166666666664</x:v>
      </x:c>
      <x:c r="C136" s="25" t="n">
        <x:v>132</x:v>
      </x:c>
      <x:c r="D136" s="25" t="str">
        <x:v>热处理炉节能改造案例（节能 20% 以上）</x:v>
      </x:c>
      <x:c r="E136" s="25" t="str">
        <x:v>非品牌词</x:v>
      </x:c>
      <x:c r="F136" s="25" t="str">
        <x:v>深度思考</x:v>
      </x:c>
      <x:c r="G136" s="25" t="str">
        <x:v>元宝</x:v>
      </x:c>
      <x:c r="H136" s="25" t="str">
        <x:v>否</x:v>
      </x:c>
      <x:c r="I136" s="25" t="str">
        <x:v>否</x:v>
      </x:c>
      <x:c r="J136" s="25" t="n">
        <x:v>0</x:v>
      </x:c>
      <x:c r="K136" s="25" t="str">
        <x:v>http://ynjn.yn.gov.cn/cnPc/jnzs/7598.html</x:v>
      </x:c>
      <x:c r="L136" s="25" t="str">
        <x:v>http://m.cz-yjr.com/article.php?d=35635&amp;f=1&amp;id=10969203</x:v>
      </x:c>
      <x:c r="M136" s="25" t="str">
        <x:v>https://www.xueshu.com.cn/tljnhbyaqws/200901/14469606.html</x:v>
      </x:c>
      <x:c r="N136" s="25" t="str">
        <x:v>https://hc-heattech.com/nav14-67.html</x:v>
      </x:c>
      <x:c r="O136" s="25" t="str">
        <x:v>https://hc-heattech.com/nav14-67.html</x:v>
      </x:c>
      <x:c r="P136" s="25" t="str">
        <x:v>http://m.qipeiren.com/toutiao/33869</x:v>
      </x:c>
      <x:c r="Q136" s="25" t="str">
        <x:v>http://www.chinakiln.net/technology/201102/22/47.html</x:v>
      </x:c>
      <x:c r="R136" s="25" t="str">
        <x:v>http://www.chinakiln.net/sell/201103/09/sell_info_182.html</x:v>
      </x:c>
      <x:c r="S136" s="25" t="str">
        <x:v>http://www.ytrcl.cn/news/422.html</x:v>
      </x:c>
      <x:c r="T136" s="25" t="str">
        <x:v>http://www.ytrcl.cn/news/422.html</x:v>
      </x:c>
      <x:c r="U136" s="25" t="str">
        <x:v>GEO 1.0 (1).xlsx</x:v>
      </x:c>
      <x:c r="V136" s="25" t="str"/>
    </x:row>
    <x:row r="137" ht="32" customHeight="1">
      <x:c r="A137" s="25" t="str">
        <x:v>R1</x:v>
      </x:c>
      <x:c r="B137" s="26" t="n">
        <x:v>46232.166666666664</x:v>
      </x:c>
      <x:c r="C137" s="25" t="n">
        <x:v>133</x:v>
      </x:c>
      <x:c r="D137" s="25" t="str">
        <x:v>热处理炉节能改造案例（节能 20% 以上）</x:v>
      </x:c>
      <x:c r="E137" s="25" t="str">
        <x:v>非品牌词</x:v>
      </x:c>
      <x:c r="F137" s="25" t="str">
        <x:v>深度思考</x:v>
      </x:c>
      <x:c r="G137" s="25" t="str">
        <x:v>通义</x:v>
      </x:c>
      <x:c r="H137" s="25" t="str"/>
      <x:c r="I137" s="25" t="str">
        <x:v>否</x:v>
      </x:c>
      <x:c r="J137" s="25"/>
      <x:c r="K137" s="25" t="str"/>
      <x:c r="L137" s="25" t="str"/>
      <x:c r="M137" s="25" t="str"/>
      <x:c r="N137" s="25" t="str"/>
      <x:c r="O137" s="25" t="str"/>
      <x:c r="P137" s="25" t="str"/>
      <x:c r="Q137" s="25" t="str"/>
      <x:c r="R137" s="25" t="str"/>
      <x:c r="S137" s="25" t="str"/>
      <x:c r="T137" s="25" t="str"/>
      <x:c r="U137" s="25" t="str">
        <x:v>GEO 1.0 (1).xlsx</x:v>
      </x:c>
      <x:c r="V137" s="25" t="str"/>
    </x:row>
    <x:row r="138" ht="32" customHeight="1">
      <x:c r="A138" s="25" t="str">
        <x:v>R1</x:v>
      </x:c>
      <x:c r="B138" s="26" t="n">
        <x:v>46232.166666666664</x:v>
      </x:c>
      <x:c r="C138" s="25" t="n">
        <x:v>134</x:v>
      </x:c>
      <x:c r="D138" s="25" t="str">
        <x:v>热处理炉节能改造案例（节能 20% 以上）</x:v>
      </x:c>
      <x:c r="E138" s="25" t="str">
        <x:v>非品牌词</x:v>
      </x:c>
      <x:c r="F138" s="25" t="str">
        <x:v>深度思考</x:v>
      </x:c>
      <x:c r="G138" s="25" t="str">
        <x:v>文心</x:v>
      </x:c>
      <x:c r="H138" s="25" t="str"/>
      <x:c r="I138" s="25" t="str">
        <x:v>否</x:v>
      </x:c>
      <x:c r="J138" s="25"/>
      <x:c r="K138" s="25" t="str"/>
      <x:c r="L138" s="25" t="str"/>
      <x:c r="M138" s="25" t="str"/>
      <x:c r="N138" s="25" t="str"/>
      <x:c r="O138" s="25" t="str"/>
      <x:c r="P138" s="25" t="str"/>
      <x:c r="Q138" s="25" t="str"/>
      <x:c r="R138" s="25" t="str"/>
      <x:c r="S138" s="25" t="str"/>
      <x:c r="T138" s="25" t="str"/>
      <x:c r="U138" s="25" t="str">
        <x:v>GEO 1.0 (1).xlsx</x:v>
      </x:c>
      <x:c r="V138" s="25" t="str"/>
    </x:row>
    <x:row r="139" ht="32" customHeight="1">
      <x:c r="A139" s="25" t="str">
        <x:v>R1</x:v>
      </x:c>
      <x:c r="B139" s="26" t="n">
        <x:v>46232.166666666664</x:v>
      </x:c>
      <x:c r="C139" s="25" t="n">
        <x:v>135</x:v>
      </x:c>
      <x:c r="D139" s="25" t="str">
        <x:v>热处理炉节能改造多少钱</x:v>
      </x:c>
      <x:c r="E139" s="25" t="str">
        <x:v>非品牌词</x:v>
      </x:c>
      <x:c r="F139" s="25" t="str">
        <x:v>深度思考</x:v>
      </x:c>
      <x:c r="G139" s="25" t="str">
        <x:v>豆包</x:v>
      </x:c>
      <x:c r="H139" s="25" t="str">
        <x:v>否</x:v>
      </x:c>
      <x:c r="I139" s="25" t="str">
        <x:v>否</x:v>
      </x:c>
      <x:c r="J139" s="25" t="n">
        <x:v>0</x:v>
      </x:c>
      <x:c r="K139" s="25" t="str">
        <x:v>https://max.book118.com/html/2026/0414/8112074000010063.shtm</x:v>
      </x:c>
      <x:c r="L139" s="25" t="str">
        <x:v>https://m.1688.com//offer_search/-B9A4D2B5C2AFBDDAC4DCB8C4D4EC.html/_____tmd_____/punish?x5secdata=xfspIhqgnPKLjmR7cnB9uQeAWPPM3fTani-SNt2dw9LS7kjOi1G9Gq4aFhvIsB0fHu3St3xHv90rd75BbNm8b3Kp3YXnsQwfvk9v6JC5uOFvYdpsAgJD-WQHoeFyqVH6nBhvsnCKShmQKq8fPiUy6C9tX1BXLk3UyZIJgbAiZr7FEkwI3t1G7y6qi2_In2SkwGFM95Kdt6soVhcgkpYU4l6qFhSCALL2cGguz9dbOmr95qiFgQJAg4kMlipRbekHmNwfusK3IJjCLtR69jl6gitlJb361rNmLYa_c5Zjr9gSZYcxlh6lfFICL0MJEfVDFUtulcLlX_y1rK2JVCGijC8XUY29xvthnoqZAOGcaXifwhNAWUMLjtG8Yar1EPQ-9sjmbfwcl1OZSqgz6QCYDCOIWL521nmVWkN4IQS5WUeoTf_e1f12RxRC4uOqXHkr06-2ukyYkWPNzKMjXNsHxUNHxrZfsds5pX2ZCH933omqE54ES6iIFlWoQhLzVpgz1MTsFMy-3l2VoQIPWvQj-148mqHLoKp8Wz6WoQt9fe_nfte1rRetNLQhaBPRJ6JQLOZ8eZ_3-v9q9y9bS3WlDXaN2roESUJ64aw6qLKB2BWDgwTRwspiSap7qLPwoQoYNrWg7JeHmLsIT2lmQ_TeAptyq4fjyz6X_cBDannGo56qc__bx__m.1688.com%2foffer_search%2f-B9A4D2B5C2AFBDDAC4DCB8C4D4EC.html&amp;x5step=1</x:v>
      </x:c>
      <x:c r="M139" s="25" t="str">
        <x:v>https://www.ditan.com/energy-saving/project/6003.html</x:v>
      </x:c>
      <x:c r="N139" s="25" t="str">
        <x:v>https://m.163.com/dy/article/KSPV1R9O0556KM6Z.html</x:v>
      </x:c>
      <x:c r="O139" s="25" t="str">
        <x:v>https://m.sohu.com/a/1011986480_122726200/</x:v>
      </x:c>
      <x:c r="P139" s="25" t="str">
        <x:v>https://www.tchrzkl.com/news/708.html</x:v>
      </x:c>
      <x:c r="Q139" s="25" t="str">
        <x:v>https://aosspic10001.websiteonline.cn/pmoa15e9b/doc/u2hf.pdf</x:v>
      </x:c>
      <x:c r="R139" s="25" t="str">
        <x:v>https://www.echinagov.com/news/guotao/Article-nbAIR-7.html</x:v>
      </x:c>
      <x:c r="S139" s="25" t="str">
        <x:v>https://www.1688.com/?spm=a260k.24848612.notfound&amp;theme=index</x:v>
      </x:c>
      <x:c r="T139" s="25" t="str">
        <x:v>https://www.mee.gov.cn/gkml/hbb/gwy/200910/t20091030_180702.htm</x:v>
      </x:c>
      <x:c r="U139" s="25" t="str">
        <x:v>GEO 1.0 (1).xlsx</x:v>
      </x:c>
      <x:c r="V139" s="25" t="str"/>
    </x:row>
    <x:row r="140" ht="32" customHeight="1">
      <x:c r="A140" s="25" t="str">
        <x:v>R1</x:v>
      </x:c>
      <x:c r="B140" s="26" t="n">
        <x:v>46232.166666666664</x:v>
      </x:c>
      <x:c r="C140" s="25" t="n">
        <x:v>136</x:v>
      </x:c>
      <x:c r="D140" s="25" t="str">
        <x:v>热处理炉节能改造多少钱</x:v>
      </x:c>
      <x:c r="E140" s="25" t="str">
        <x:v>非品牌词</x:v>
      </x:c>
      <x:c r="F140" s="25" t="str">
        <x:v>深度思考</x:v>
      </x:c>
      <x:c r="G140" s="25" t="str">
        <x:v>DeepSeek</x:v>
      </x:c>
      <x:c r="H140" s="25" t="str">
        <x:v>否</x:v>
      </x:c>
      <x:c r="I140" s="25" t="str">
        <x:v>否</x:v>
      </x:c>
      <x:c r="J140" s="25" t="n">
        <x:v>0</x:v>
      </x:c>
      <x:c r="K140" s="25" t="str">
        <x:v>https://www.gc-zb.com.cn/markinfo/rMvvIFXVDNKIWD-e65w..A.html?ucode=</x:v>
      </x:c>
      <x:c r="L140" s="25" t="str">
        <x:v>http://www.tynews.com.cn/system/2023/09/12/030655748.shtml</x:v>
      </x:c>
      <x:c r="M140" s="25" t="str">
        <x:v>https://zc.bbwport.com/defaul_/foreground/show.do?id=63711</x:v>
      </x:c>
      <x:c r="N140" s="25" t="str">
        <x:v>https://zc.bbwport.com/defaul_/foreground/show.do?id=63711</x:v>
      </x:c>
      <x:c r="O140" s="25" t="str">
        <x:v>https://www.kczg.org.cn/needs/detailThe?id=167509&amp;type=1</x:v>
      </x:c>
      <x:c r="P140" s="25" t="str">
        <x:v>http://www.qingzhekj.com/news/549.html</x:v>
      </x:c>
      <x:c r="Q140" s="25" t="str">
        <x:v>https://www.steelhome.com/detailspage.php?nid=4670440&amp;ntype=n</x:v>
      </x:c>
      <x:c r="R140" s="25" t="str">
        <x:v>https://wenku.baidu.com/view/9d0f6d07e3bd960590c69ec3d5bbfd0a7856d55f.html</x:v>
      </x:c>
      <x:c r="S140" s="25" t="str">
        <x:v>https://gg.mysteel.com/a/25022116/0DEE58A857C330E8.html</x:v>
      </x:c>
      <x:c r="T140" s="25" t="str">
        <x:v>http://www.ytrcl.cn/news/422.html</x:v>
      </x:c>
      <x:c r="U140" s="25" t="str">
        <x:v>GEO 1.0 (1).xlsx</x:v>
      </x:c>
      <x:c r="V140" s="25" t="str"/>
    </x:row>
    <x:row r="141" ht="32" customHeight="1">
      <x:c r="A141" s="25" t="str">
        <x:v>R1</x:v>
      </x:c>
      <x:c r="B141" s="26" t="n">
        <x:v>46232.166666666664</x:v>
      </x:c>
      <x:c r="C141" s="25" t="n">
        <x:v>137</x:v>
      </x:c>
      <x:c r="D141" s="25" t="str">
        <x:v>热处理炉节能改造多少钱</x:v>
      </x:c>
      <x:c r="E141" s="25" t="str">
        <x:v>非品牌词</x:v>
      </x:c>
      <x:c r="F141" s="25" t="str">
        <x:v>深度思考</x:v>
      </x:c>
      <x:c r="G141" s="25" t="str">
        <x:v>元宝</x:v>
      </x:c>
      <x:c r="H141" s="25" t="str">
        <x:v>否</x:v>
      </x:c>
      <x:c r="I141" s="25" t="str">
        <x:v>否</x:v>
      </x:c>
      <x:c r="J141" s="25" t="n">
        <x:v>0</x:v>
      </x:c>
      <x:c r="K141" s="25" t="str">
        <x:v>http://www.re-hobo.cn/article-item-137.html</x:v>
      </x:c>
      <x:c r="L141" s="25" t="str">
        <x:v>http://www.hc-heattech.com/nav16-59.html</x:v>
      </x:c>
      <x:c r="M141" s="25" t="str">
        <x:v>http://www.hc-heattech.com/nav16-59.html</x:v>
      </x:c>
      <x:c r="N141" s="25" t="str">
        <x:v>https://ggzy.hengyang.gov.cn/jyxx/jsgcjy/zbjh/20250107/i3553176.html</x:v>
      </x:c>
      <x:c r="O141" s="25" t="str">
        <x:v>http://www.hc-heattech.com/nav16-66.html</x:v>
      </x:c>
      <x:c r="P141" s="25" t="str">
        <x:v>http://www.hc-heattech.com/nav14-67.html</x:v>
      </x:c>
      <x:c r="Q141" s="25" t="str">
        <x:v>https://finance.sina.com.cn/stock/aigc/zab/2026-05-07/doc-inhwzmmr8583625.shtml</x:v>
      </x:c>
      <x:c r="R141" s="25" t="str">
        <x:v>http://www.jienengcailiao.com/xin/661.html</x:v>
      </x:c>
      <x:c r="S141" s="25" t="str">
        <x:v>https://b2b.makepolo.com/cpk/cp_6831g7k9n4i.html</x:v>
      </x:c>
      <x:c r="T141" s="25" t="str">
        <x:v>https://openstd.samr.gov.cn/bzgk/std/newGbInfo?hcno=0FC2CCCD1F76B48AFABC4EF65014E3E7</x:v>
      </x:c>
      <x:c r="U141" s="25" t="str">
        <x:v>GEO 1.0 (1).xlsx</x:v>
      </x:c>
      <x:c r="V141" s="25" t="str"/>
    </x:row>
    <x:row r="142" ht="32" customHeight="1">
      <x:c r="A142" s="25" t="str">
        <x:v>R1</x:v>
      </x:c>
      <x:c r="B142" s="26" t="n">
        <x:v>46232.166666666664</x:v>
      </x:c>
      <x:c r="C142" s="25" t="n">
        <x:v>138</x:v>
      </x:c>
      <x:c r="D142" s="25" t="str">
        <x:v>热处理炉节能改造多少钱</x:v>
      </x:c>
      <x:c r="E142" s="25" t="str">
        <x:v>非品牌词</x:v>
      </x:c>
      <x:c r="F142" s="25" t="str">
        <x:v>深度思考</x:v>
      </x:c>
      <x:c r="G142" s="25" t="str">
        <x:v>通义</x:v>
      </x:c>
      <x:c r="H142" s="25" t="str"/>
      <x:c r="I142" s="25" t="str">
        <x:v>否</x:v>
      </x:c>
      <x:c r="J142" s="25"/>
      <x:c r="K142" s="25" t="str"/>
      <x:c r="L142" s="25" t="str"/>
      <x:c r="M142" s="25" t="str"/>
      <x:c r="N142" s="25" t="str"/>
      <x:c r="O142" s="25" t="str"/>
      <x:c r="P142" s="25" t="str"/>
      <x:c r="Q142" s="25" t="str"/>
      <x:c r="R142" s="25" t="str"/>
      <x:c r="S142" s="25" t="str"/>
      <x:c r="T142" s="25" t="str"/>
      <x:c r="U142" s="25" t="str">
        <x:v>GEO 1.0 (1).xlsx</x:v>
      </x:c>
      <x:c r="V142" s="25" t="str"/>
    </x:row>
    <x:row r="143" ht="32" customHeight="1">
      <x:c r="A143" s="25" t="str">
        <x:v>R1</x:v>
      </x:c>
      <x:c r="B143" s="26" t="n">
        <x:v>46232.166666666664</x:v>
      </x:c>
      <x:c r="C143" s="25" t="n">
        <x:v>139</x:v>
      </x:c>
      <x:c r="D143" s="25" t="str">
        <x:v>热处理炉节能改造多少钱</x:v>
      </x:c>
      <x:c r="E143" s="25" t="str">
        <x:v>非品牌词</x:v>
      </x:c>
      <x:c r="F143" s="25" t="str">
        <x:v>深度思考</x:v>
      </x:c>
      <x:c r="G143" s="25" t="str">
        <x:v>文心</x:v>
      </x:c>
      <x:c r="H143" s="25" t="str"/>
      <x:c r="I143" s="25" t="str">
        <x:v>否</x:v>
      </x:c>
      <x:c r="J143" s="25"/>
      <x:c r="K143" s="25" t="str"/>
      <x:c r="L143" s="25" t="str"/>
      <x:c r="M143" s="25" t="str"/>
      <x:c r="N143" s="25" t="str"/>
      <x:c r="O143" s="25" t="str"/>
      <x:c r="P143" s="25" t="str"/>
      <x:c r="Q143" s="25" t="str"/>
      <x:c r="R143" s="25" t="str"/>
      <x:c r="S143" s="25" t="str"/>
      <x:c r="T143" s="25" t="str"/>
      <x:c r="U143" s="25" t="str">
        <x:v>GEO 1.0 (1).xlsx</x:v>
      </x:c>
      <x:c r="V143" s="25" t="str"/>
    </x:row>
    <x:row r="144" ht="32" customHeight="1">
      <x:c r="A144" s="25" t="str">
        <x:v>R1</x:v>
      </x:c>
      <x:c r="B144" s="26" t="n">
        <x:v>46232.166666666664</x:v>
      </x:c>
      <x:c r="C144" s="25" t="n">
        <x:v>140</x:v>
      </x:c>
      <x:c r="D144" s="25" t="str">
        <x:v>工业炉节能改造报价包括哪些</x:v>
      </x:c>
      <x:c r="E144" s="25" t="str">
        <x:v>非品牌词</x:v>
      </x:c>
      <x:c r="F144" s="25" t="str">
        <x:v>深度思考</x:v>
      </x:c>
      <x:c r="G144" s="25" t="str">
        <x:v>豆包</x:v>
      </x:c>
      <x:c r="H144" s="25" t="str">
        <x:v>否</x:v>
      </x:c>
      <x:c r="I144" s="25" t="str">
        <x:v>否</x:v>
      </x:c>
      <x:c r="J144" s="25" t="n">
        <x:v>0</x:v>
      </x:c>
      <x:c r="K144" s="25" t="str">
        <x:v>https://max.book118.com/html/2026/0513/6011121223012133.shtm</x:v>
      </x:c>
      <x:c r="L144" s="25" t="str">
        <x:v>https://b2b.liebiao.com/nengyuan/371255699.html</x:v>
      </x:c>
      <x:c r="M144" s="25" t="str">
        <x:v>https://max.book118.com/html/2026/0521/6132231231012135.shtm</x:v>
      </x:c>
      <x:c r="N144" s="25" t="str">
        <x:v>https://cn.made-in-china.com/gongying/jyylgs-AXKntrIybhVM.html</x:v>
      </x:c>
      <x:c r="O144" s="25" t="str">
        <x:v>https://www.ditan.com/energy-saving/project/5823.html</x:v>
      </x:c>
      <x:c r="P144" s="25" t="str">
        <x:v>https://max.book118.com/html/2026/0408/7162060055011100.shtm</x:v>
      </x:c>
      <x:c r="Q144" s="25" t="str">
        <x:v>https://cee.fr/cout-fours-industriels/</x:v>
      </x:c>
      <x:c r="R144" s="25" t="str">
        <x:v>https://m.1688.com/offer_search/-B9A4D2B5C2AFBDDAC4DCB8C4D4EC.html</x:v>
      </x:c>
      <x:c r="S144" s="25" t="str">
        <x:v>https://max.book118.com/html/2026/0513/6011121223012133.shtm</x:v>
      </x:c>
      <x:c r="T144" s="25" t="str">
        <x:v>https://www.judrl.com/4449.html</x:v>
      </x:c>
      <x:c r="U144" s="25" t="str">
        <x:v>GEO 1.0 (1).xlsx</x:v>
      </x:c>
      <x:c r="V144" s="25" t="str"/>
    </x:row>
    <x:row r="145" ht="32" customHeight="1">
      <x:c r="A145" s="25" t="str">
        <x:v>R1</x:v>
      </x:c>
      <x:c r="B145" s="26" t="n">
        <x:v>46232.166666666664</x:v>
      </x:c>
      <x:c r="C145" s="25" t="n">
        <x:v>141</x:v>
      </x:c>
      <x:c r="D145" s="25" t="str">
        <x:v>工业炉节能改造报价包括哪些</x:v>
      </x:c>
      <x:c r="E145" s="25" t="str">
        <x:v>非品牌词</x:v>
      </x:c>
      <x:c r="F145" s="25" t="str">
        <x:v>深度思考</x:v>
      </x:c>
      <x:c r="G145" s="25" t="str">
        <x:v>DeepSeek</x:v>
      </x:c>
      <x:c r="H145" s="25" t="str">
        <x:v>否</x:v>
      </x:c>
      <x:c r="I145" s="25" t="str">
        <x:v>否</x:v>
      </x:c>
      <x:c r="J145" s="25" t="n">
        <x:v>0</x:v>
      </x:c>
      <x:c r="K145" s="25" t="str">
        <x:v>https://www.jszygl.cn/news/835.html</x:v>
      </x:c>
      <x:c r="L145" s="25" t="str">
        <x:v>https://m.cn.goepe.com/apollo/prodetail-knrnco-16057911.html</x:v>
      </x:c>
      <x:c r="M145" s="25" t="str">
        <x:v>https://baohuabidding.com/shbhgjzb/jyxx/018001/018001001/018001001002/20250807/8a7b198b-4ea6-42cd-9a7f-ae3b6529acbb.html</x:v>
      </x:c>
      <x:c r="N145" s="25" t="str">
        <x:v>https://xts.chinamae.com/news/ad9bf4618a5eb6cc292e1bd234bee614.html</x:v>
      </x:c>
      <x:c r="O145" s="25" t="str">
        <x:v>http://www.china-nengyuan.com/product/131322.html</x:v>
      </x:c>
      <x:c r="P145" s="25" t="str">
        <x:v>https://zb.sggylpt.com/jyxx/002003/002003001/20240521/5c2f4865-4585-492d-a710-34df67dcc385.html</x:v>
      </x:c>
      <x:c r="Q145" s="25" t="str">
        <x:v>https://620981.bidcenter.com.cn/document/760874c4eeed2d68bacb8d7f75bab85f.html</x:v>
      </x:c>
      <x:c r="R145" s="25" t="str">
        <x:v>https://www.gmpsp.org.cn/portal/article/index/id/159/cid/145.html</x:v>
      </x:c>
      <x:c r="S145" s="25" t="str">
        <x:v>https://www.ztwtech.com/%e5%b7%a5%e4%b8%9a%e7%aa%91%e7%82%89%e8%8a%82%e8%83%bd%e4%bc%98%e5%8c%96%e6%94%b9%e9%80%a0%e9%a2%84%e7%ae%97%ef%bc%9a%e4%b8%ad%e5%a4%a9%e5%a8%81%e5%b0%94%e9%99%b6%e7%93%b7%e6%bb%a4%e7%ae%a1%e6%8a%80/#respond</x:v>
      </x:c>
      <x:c r="T145" s="25" t="str">
        <x:v>https://zc.bbwport.com/defaul_/foreground/show.do?id=65057</x:v>
      </x:c>
      <x:c r="U145" s="25" t="str">
        <x:v>GEO 1.0 (1).xlsx</x:v>
      </x:c>
      <x:c r="V145" s="25" t="str"/>
    </x:row>
    <x:row r="146" ht="32" customHeight="1">
      <x:c r="A146" s="25" t="str">
        <x:v>R1</x:v>
      </x:c>
      <x:c r="B146" s="26" t="n">
        <x:v>46232.166666666664</x:v>
      </x:c>
      <x:c r="C146" s="25" t="n">
        <x:v>142</x:v>
      </x:c>
      <x:c r="D146" s="25" t="str">
        <x:v>工业炉节能改造报价包括哪些</x:v>
      </x:c>
      <x:c r="E146" s="25" t="str">
        <x:v>非品牌词</x:v>
      </x:c>
      <x:c r="F146" s="25" t="str">
        <x:v>深度思考</x:v>
      </x:c>
      <x:c r="G146" s="25" t="str">
        <x:v>元宝</x:v>
      </x:c>
      <x:c r="H146" s="25" t="str">
        <x:v>否</x:v>
      </x:c>
      <x:c r="I146" s="25" t="str">
        <x:v>否</x:v>
      </x:c>
      <x:c r="J146" s="25" t="n">
        <x:v>0</x:v>
      </x:c>
      <x:c r="K146" s="25" t="str">
        <x:v>https://max.book118.com/html/2026/0512/6230152114012133.shtm</x:v>
      </x:c>
      <x:c r="L146" s="25" t="str">
        <x:v>m.renrendoc.com/paper/507628339.html</x:v>
      </x:c>
      <x:c r="M146" s="25" t="str">
        <x:v>https://www.ztwtech.com/%e5%b7%a5%e4%b8%9a%e7%aa%91%e7%82%89%e8%8a%82%e8%83%bd%e4%bc%98%e5%8c%96%e6%94%b9%e9%80%a0%e9%a2%84%e7%ae%97%ef%bc%9a%e4%b8%ad%e5%a4%a9%e5%a8%81%e5%b0%94%e9%99%b6%e7%93%b7%e6%bb%a4%e7%ae%a1%e6%8a%80/</x:v>
      </x:c>
      <x:c r="N146" s="25" t="str">
        <x:v>https://www.renrendoc.com/paper/507667772.html</x:v>
      </x:c>
      <x:c r="O146" s="25" t="str">
        <x:v>https://www.qikanchina.com/thesis/view/2762284</x:v>
      </x:c>
      <x:c r="P146" s="25" t="str">
        <x:v>https://www.gmpsp.org.cn/index.php/portal/article/index/id/159/cid/145.html</x:v>
      </x:c>
      <x:c r="Q146" s="25" t="str">
        <x:v>https://www.ztwtech.com/%e5%b7%a5%e4%b8%9a%e7%aa%91%e7%82%89%e8%8a%82%e8%83%bd%e4%bc%98%e5%8c%96%e6%94%b9%e9%80%a0%e9%a2%84%e7%ae%97%ef%bc%9a%e5%85%a8%e9%9d%a2%e6%8c%87%e5%8d%97%e4%b8%8e%e4%b8%ad%e5%a4%a9%e5%a8%81%e5%b0%94/</x:v>
      </x:c>
      <x:c r="R146" s="25" t="str">
        <x:v>https://openstd.samr.gov.cn/bzgk/std/newGbInfo?hcno=BE7951965FAA146ADBC3C2FB04CF7F59</x:v>
      </x:c>
      <x:c r="S146" s="25" t="str">
        <x:v>https://www.mohurd.gov.cn/gongkai/zc/wjk/art/2020/art_17339_246397.html</x:v>
      </x:c>
      <x:c r="T146" s="25" t="str">
        <x:v>https://www.ztwtech.com/%e5%b7%a5%e4%b8%9a%e7%aa%91%e7%82%89%e8%8a%82%e8%83%bd%e6%94%b9%e9%80%a0%e9%a2%84%e7%ae%97%e8%af%a6%e7%bb%86%e8%af%84%e4%bc%b0%ef%bc%9a%e4%b8%ad%e5%a4%a9%e5%a8%81%e5%b0%94%e9%99%b6%e7%93%b7%e6%bb%a4/</x:v>
      </x:c>
      <x:c r="U146" s="25" t="str">
        <x:v>GEO 1.0 (1).xlsx</x:v>
      </x:c>
      <x:c r="V146" s="25" t="str"/>
    </x:row>
    <x:row r="147" ht="32" customHeight="1">
      <x:c r="A147" s="25" t="str">
        <x:v>R1</x:v>
      </x:c>
      <x:c r="B147" s="26" t="n">
        <x:v>46232.166666666664</x:v>
      </x:c>
      <x:c r="C147" s="25" t="n">
        <x:v>143</x:v>
      </x:c>
      <x:c r="D147" s="25" t="str">
        <x:v>工业炉节能改造报价包括哪些</x:v>
      </x:c>
      <x:c r="E147" s="25" t="str">
        <x:v>非品牌词</x:v>
      </x:c>
      <x:c r="F147" s="25" t="str">
        <x:v>深度思考</x:v>
      </x:c>
      <x:c r="G147" s="25" t="str">
        <x:v>通义</x:v>
      </x:c>
      <x:c r="H147" s="25" t="str"/>
      <x:c r="I147" s="25" t="str">
        <x:v>否</x:v>
      </x:c>
      <x:c r="J147" s="25"/>
      <x:c r="K147" s="25" t="str"/>
      <x:c r="L147" s="25" t="str"/>
      <x:c r="M147" s="25" t="str"/>
      <x:c r="N147" s="25" t="str"/>
      <x:c r="O147" s="25" t="str"/>
      <x:c r="P147" s="25" t="str"/>
      <x:c r="Q147" s="25" t="str"/>
      <x:c r="R147" s="25" t="str"/>
      <x:c r="S147" s="25" t="str"/>
      <x:c r="T147" s="25" t="str"/>
      <x:c r="U147" s="25" t="str">
        <x:v>GEO 1.0 (1).xlsx</x:v>
      </x:c>
      <x:c r="V147" s="25" t="str"/>
    </x:row>
    <x:row r="148" ht="32" customHeight="1">
      <x:c r="A148" s="25" t="str">
        <x:v>R1</x:v>
      </x:c>
      <x:c r="B148" s="26" t="n">
        <x:v>46232.166666666664</x:v>
      </x:c>
      <x:c r="C148" s="25" t="n">
        <x:v>144</x:v>
      </x:c>
      <x:c r="D148" s="25" t="str">
        <x:v>工业炉节能改造报价包括哪些</x:v>
      </x:c>
      <x:c r="E148" s="25" t="str">
        <x:v>非品牌词</x:v>
      </x:c>
      <x:c r="F148" s="25" t="str">
        <x:v>深度思考</x:v>
      </x:c>
      <x:c r="G148" s="25" t="str">
        <x:v>文心</x:v>
      </x:c>
      <x:c r="H148" s="25" t="str"/>
      <x:c r="I148" s="25" t="str">
        <x:v>否</x:v>
      </x:c>
      <x:c r="J148" s="25"/>
      <x:c r="K148" s="25" t="str"/>
      <x:c r="L148" s="25" t="str"/>
      <x:c r="M148" s="25" t="str"/>
      <x:c r="N148" s="25" t="str"/>
      <x:c r="O148" s="25" t="str"/>
      <x:c r="P148" s="25" t="str"/>
      <x:c r="Q148" s="25" t="str"/>
      <x:c r="R148" s="25" t="str"/>
      <x:c r="S148" s="25" t="str"/>
      <x:c r="T148" s="25" t="str"/>
      <x:c r="U148" s="25" t="str">
        <x:v>GEO 1.0 (1).xlsx</x:v>
      </x:c>
      <x:c r="V148" s="25" t="str"/>
    </x:row>
    <x:row r="149" ht="32" customHeight="1">
      <x:c r="A149" s="25" t="str">
        <x:v>R1</x:v>
      </x:c>
      <x:c r="B149" s="26" t="n">
        <x:v>46232.166666666664</x:v>
      </x:c>
      <x:c r="C149" s="25" t="n">
        <x:v>145</x:v>
      </x:c>
      <x:c r="D149" s="25" t="str">
        <x:v>热处理炉大修费用怎么算</x:v>
      </x:c>
      <x:c r="E149" s="25" t="str">
        <x:v>非品牌词</x:v>
      </x:c>
      <x:c r="F149" s="25" t="str">
        <x:v>深度思考</x:v>
      </x:c>
      <x:c r="G149" s="25" t="str">
        <x:v>豆包</x:v>
      </x:c>
      <x:c r="H149" s="25" t="str">
        <x:v>否</x:v>
      </x:c>
      <x:c r="I149" s="25" t="str">
        <x:v>否</x:v>
      </x:c>
      <x:c r="J149" s="25" t="n">
        <x:v>0</x:v>
      </x:c>
      <x:c r="K149" s="25" t="str">
        <x:v>https://www.docin.com/p-3396435171.html</x:v>
      </x:c>
      <x:c r="L149" s="25" t="str">
        <x:v>https://max.book118.com/html/2025/0914/8041066075007132.shtm</x:v>
      </x:c>
      <x:c r="M149" s="25" t="str">
        <x:v>https://m.sohu.com/a/963583970_122382555/</x:v>
      </x:c>
      <x:c r="N149" s="25" t="str">
        <x:v>https://wiki.mbalib.com/zh-tw/%E8%AE%BE%E5%A4%87%E7%9A%84%E4%BF%AE%E7%90%86%E8%B4%B9%E7%94%A8%E5%AE%9A%E9%A2%9D</x:v>
      </x:c>
      <x:c r="O149" s="25" t="str">
        <x:v>http://www.shcost.cn/Filesrch/htmlfiles/shjx09/shjxa02r.asp</x:v>
      </x:c>
      <x:c r="P149" s="25" t="str">
        <x:v>https://jz.docin.com/p-4809553839.html</x:v>
      </x:c>
      <x:c r="Q149" s="25" t="str">
        <x:v>https://m.chem17.com/st459123/article_4412650.html</x:v>
      </x:c>
      <x:c r="R149" s="25" t="str">
        <x:v>https://www.chem17.com/tech_news/detail/4323415.html</x:v>
      </x:c>
      <x:c r="S149" s="25" t="str">
        <x:v>https://jy-datafile.oss-cn-beijing.aliyuncs.com/3a919ccacc21543ece8c00eeec6cec7cbc1ceee413dcc8e87b2f4209ef723029.pdf</x:v>
      </x:c>
      <x:c r="T149" s="25" t="str">
        <x:v>http://www.shcost.cn/Filesrch/htmlfiles/shjx09/shjxa02r.asp</x:v>
      </x:c>
      <x:c r="U149" s="25" t="str">
        <x:v>GEO 1.0 (1).xlsx</x:v>
      </x:c>
      <x:c r="V149" s="25" t="str"/>
    </x:row>
    <x:row r="150" ht="32" customHeight="1">
      <x:c r="A150" s="25" t="str">
        <x:v>R1</x:v>
      </x:c>
      <x:c r="B150" s="26" t="n">
        <x:v>46232.166666666664</x:v>
      </x:c>
      <x:c r="C150" s="25" t="n">
        <x:v>146</x:v>
      </x:c>
      <x:c r="D150" s="25" t="str">
        <x:v>热处理炉大修费用怎么算</x:v>
      </x:c>
      <x:c r="E150" s="25" t="str">
        <x:v>非品牌词</x:v>
      </x:c>
      <x:c r="F150" s="25" t="str">
        <x:v>深度思考</x:v>
      </x:c>
      <x:c r="G150" s="25" t="str">
        <x:v>DeepSeek</x:v>
      </x:c>
      <x:c r="H150" s="25" t="str">
        <x:v>否</x:v>
      </x:c>
      <x:c r="I150" s="25" t="str">
        <x:v>否</x:v>
      </x:c>
      <x:c r="J150" s="25" t="n">
        <x:v>0</x:v>
      </x:c>
      <x:c r="K150" s="25" t="str">
        <x:v>https://wap.cnki.net/touch/web/Journal/Article/SBGX199102032.html</x:v>
      </x:c>
      <x:c r="L150" s="25" t="str">
        <x:v>https://www.gusu.cn/news/1021.html</x:v>
      </x:c>
      <x:c r="M150" s="25" t="str">
        <x:v>https://m.zjtcn.com/news/50364017.html</x:v>
      </x:c>
      <x:c r="N150" s="25" t="str">
        <x:v>https://wiki.mbalib.com/wiki/%E8%AE%BE%E5%A4%87%E4%BF%AE%E7%90%86%E8%B4%B9%E7%94%A8%E5%AE%9A%E9%A2%9D</x:v>
      </x:c>
      <x:c r="O150" s="25" t="str">
        <x:v>https://chanpin.gongchang.com/show/906570404/</x:v>
      </x:c>
      <x:c r="P150" s="25" t="str">
        <x:v>https://naicai.mysteel.com/a/24053109/035D60E3DCDD3571.html</x:v>
      </x:c>
      <x:c r="Q150" s="25" t="str">
        <x:v>http://g.btshzzg.com/hyxw/gyldnyxhywx.html</x:v>
      </x:c>
      <x:c r="R150" s="25" t="str">
        <x:v>https://srm.chinaconch.com/oauth/public/default/getBiddingDetail.html?sourceNum=null&amp;sourceFrom=RFX&amp;sourceType=BR&amp;sourceHeaderId=98806</x:v>
      </x:c>
      <x:c r="S150" s="25" t="str">
        <x:v>https://www.jdzj.com/qtzzjrclsb/2-1643301.html</x:v>
      </x:c>
      <x:c r="T150" s="25" t="str">
        <x:v>http://www.adjjj.cn/xinwen-697.html</x:v>
      </x:c>
      <x:c r="U150" s="25" t="str">
        <x:v>GEO 1.0 (1).xlsx</x:v>
      </x:c>
      <x:c r="V150" s="25" t="str"/>
    </x:row>
    <x:row r="151" ht="32" customHeight="1">
      <x:c r="A151" s="25" t="str">
        <x:v>R1</x:v>
      </x:c>
      <x:c r="B151" s="26" t="n">
        <x:v>46232.166666666664</x:v>
      </x:c>
      <x:c r="C151" s="25" t="n">
        <x:v>147</x:v>
      </x:c>
      <x:c r="D151" s="25" t="str">
        <x:v>热处理炉大修费用怎么算</x:v>
      </x:c>
      <x:c r="E151" s="25" t="str">
        <x:v>非品牌词</x:v>
      </x:c>
      <x:c r="F151" s="25" t="str">
        <x:v>深度思考</x:v>
      </x:c>
      <x:c r="G151" s="25" t="str">
        <x:v>元宝</x:v>
      </x:c>
      <x:c r="H151" s="25" t="str">
        <x:v>否</x:v>
      </x:c>
      <x:c r="I151" s="25" t="str">
        <x:v>否</x:v>
      </x:c>
      <x:c r="J151" s="25" t="n">
        <x:v>0</x:v>
      </x:c>
      <x:c r="K151" s="25" t="str">
        <x:v>https://baike.baidu.com/item/%E4%BF%AE%E7%82%89%E8%B4%B9%E7%94%A8/14490695</x:v>
      </x:c>
      <x:c r="L151" s="25" t="str">
        <x:v>http://adjjj.cn/xinwen-697.html</x:v>
      </x:c>
      <x:c r="M151" s="25" t="str">
        <x:v>http://www.zbcg.cn/info-35823326-1.html</x:v>
      </x:c>
      <x:c r="N151" s="25" t="str">
        <x:v>https://www.gusu.cn/news/1021.html</x:v>
      </x:c>
      <x:c r="O151" s="25" t="str">
        <x:v>https://www.spacechina.com/n25/n2014703/n2014718/n2014757/c2956889/content.html</x:v>
      </x:c>
      <x:c r="P151" s="25" t="str">
        <x:v>https://www.spacechina.com/n25/n2014703/n2014718/n2014757/c2956889/content.html</x:v>
      </x:c>
      <x:c r="Q151" s="25" t="str">
        <x:v>https://chanpin.gongchang.com/show/906570404</x:v>
      </x:c>
      <x:c r="R151" s="25" t="str">
        <x:v>https://sbgl.jdzj.com/Article/200610/20061027200441_731.html</x:v>
      </x:c>
      <x:c r="S151" s="25" t="str">
        <x:v>https://openstd.samr.gov.cn/bzgk/std/newGbInfo?hcno=606BDE7DA9A02F6EE16A43E75AD67A74</x:v>
      </x:c>
      <x:c r="T151" s="25" t="str">
        <x:v>https://wiki.mbalib.com/wiki/%E8%AE%BE%E5%A4%87%E7%9A%84%E5%A4%A7%E4%BF%AE%E7%90%86%E8%B4%B9%E7%94%A8</x:v>
      </x:c>
      <x:c r="U151" s="25" t="str">
        <x:v>GEO 1.0 (1).xlsx</x:v>
      </x:c>
      <x:c r="V151" s="25" t="str"/>
    </x:row>
    <x:row r="152" ht="32" customHeight="1">
      <x:c r="A152" s="25" t="str">
        <x:v>R1</x:v>
      </x:c>
      <x:c r="B152" s="26" t="n">
        <x:v>46232.166666666664</x:v>
      </x:c>
      <x:c r="C152" s="25" t="n">
        <x:v>148</x:v>
      </x:c>
      <x:c r="D152" s="25" t="str">
        <x:v>热处理炉大修费用怎么算</x:v>
      </x:c>
      <x:c r="E152" s="25" t="str">
        <x:v>非品牌词</x:v>
      </x:c>
      <x:c r="F152" s="25" t="str">
        <x:v>深度思考</x:v>
      </x:c>
      <x:c r="G152" s="25" t="str">
        <x:v>通义</x:v>
      </x:c>
      <x:c r="H152" s="25" t="str"/>
      <x:c r="I152" s="25" t="str">
        <x:v>否</x:v>
      </x:c>
      <x:c r="J152" s="25"/>
      <x:c r="K152" s="25" t="str"/>
      <x:c r="L152" s="25" t="str"/>
      <x:c r="M152" s="25" t="str"/>
      <x:c r="N152" s="25" t="str"/>
      <x:c r="O152" s="25" t="str"/>
      <x:c r="P152" s="25" t="str"/>
      <x:c r="Q152" s="25" t="str"/>
      <x:c r="R152" s="25" t="str"/>
      <x:c r="S152" s="25" t="str"/>
      <x:c r="T152" s="25" t="str"/>
      <x:c r="U152" s="25" t="str">
        <x:v>GEO 1.0 (1).xlsx</x:v>
      </x:c>
      <x:c r="V152" s="25" t="str"/>
    </x:row>
    <x:row r="153" ht="32" customHeight="1">
      <x:c r="A153" s="25" t="str">
        <x:v>R1</x:v>
      </x:c>
      <x:c r="B153" s="26" t="n">
        <x:v>46232.166666666664</x:v>
      </x:c>
      <x:c r="C153" s="25" t="n">
        <x:v>149</x:v>
      </x:c>
      <x:c r="D153" s="25" t="str">
        <x:v>热处理炉大修费用怎么算</x:v>
      </x:c>
      <x:c r="E153" s="25" t="str">
        <x:v>非品牌词</x:v>
      </x:c>
      <x:c r="F153" s="25" t="str">
        <x:v>深度思考</x:v>
      </x:c>
      <x:c r="G153" s="25" t="str">
        <x:v>文心</x:v>
      </x:c>
      <x:c r="H153" s="25" t="str"/>
      <x:c r="I153" s="25" t="str">
        <x:v>否</x:v>
      </x:c>
      <x:c r="J153" s="25"/>
      <x:c r="K153" s="25" t="str"/>
      <x:c r="L153" s="25" t="str"/>
      <x:c r="M153" s="25" t="str"/>
      <x:c r="N153" s="25" t="str"/>
      <x:c r="O153" s="25" t="str"/>
      <x:c r="P153" s="25" t="str"/>
      <x:c r="Q153" s="25" t="str"/>
      <x:c r="R153" s="25" t="str"/>
      <x:c r="S153" s="25" t="str"/>
      <x:c r="T153" s="25" t="str"/>
      <x:c r="U153" s="25" t="str">
        <x:v>GEO 1.0 (1).xlsx</x:v>
      </x:c>
      <x:c r="V153" s="25" t="str"/>
    </x:row>
    <x:row r="154" ht="32" customHeight="1">
      <x:c r="A154" s="25" t="str">
        <x:v>R1</x:v>
      </x:c>
      <x:c r="B154" s="26" t="n">
        <x:v>46232.166666666664</x:v>
      </x:c>
      <x:c r="C154" s="25" t="n">
        <x:v>150</x:v>
      </x:c>
      <x:c r="D154" s="25" t="str">
        <x:v>老旧工业炉改造预算怎么估算</x:v>
      </x:c>
      <x:c r="E154" s="25" t="str">
        <x:v>非品牌词</x:v>
      </x:c>
      <x:c r="F154" s="25" t="str">
        <x:v>深度思考</x:v>
      </x:c>
      <x:c r="G154" s="25" t="str">
        <x:v>豆包</x:v>
      </x:c>
      <x:c r="H154" s="25" t="str">
        <x:v>否</x:v>
      </x:c>
      <x:c r="I154" s="25" t="str">
        <x:v>否</x:v>
      </x:c>
      <x:c r="J154" s="25" t="n">
        <x:v>0</x:v>
      </x:c>
      <x:c r="K154" s="25" t="str">
        <x:v>https://max.book118.com/html/2026/0513/6011121223012133.shtm</x:v>
      </x:c>
      <x:c r="L154" s="25" t="str">
        <x:v>https://max.book118.com/html/2026/0520/8104074066010073.shtm</x:v>
      </x:c>
      <x:c r="M154" s="25" t="str">
        <x:v>http://glyoulu.5zix.com/news/140135/</x:v>
      </x:c>
      <x:c r="N154" s="25" t="str">
        <x:v>https://www.mbalib.com/ask/question-c39f61620db439531672ad89b5bf6656.html</x:v>
      </x:c>
      <x:c r="O154" s="25" t="str">
        <x:v>https://www.zdsztech.com/blog/factory-energy-saving-rebudget/</x:v>
      </x:c>
      <x:c r="P154" s="25" t="str">
        <x:v>https://max.book118.com/html/2026/0513/6011121223012133.shtm</x:v>
      </x:c>
      <x:c r="Q154" s="25" t="str">
        <x:v>https://max.book118.com/html/2026/0319/7046036161011062.shtm</x:v>
      </x:c>
      <x:c r="R154" s="25" t="str">
        <x:v>https://www.ztwtech.com/%E5%B7%A5%E4%B8%9A%E7%82%89%E7%AA%91%E5%8D%87%E7%BA%A7%E6%94%B9%E9%80%A0%E9%A2%84%E7%AE%97%EF%BC%9A%E5%85%A8%E9%9D%A2%E6%8C%87%E5%8D%97%E4%B8%8E%E4%B8%AD%E5%A4%A9%E5%A8%81%E5%B0%94%E6%8A%80%E6%9C%AF/</x:v>
      </x:c>
      <x:c r="S154" s="25" t="str">
        <x:v>https://max.book118.com/html/2026/0521/6132231231012135.shtm</x:v>
      </x:c>
      <x:c r="T154" s="25" t="str">
        <x:v>https://www.ztwtech.com/%E5%B7%A5%E4%B8%9A%E7%AA%91%E7%82%89%E6%94%B9%E9%80%A0%E8%B4%B9%E7%94%A8%E4%BC%B0%E7%AE%97%EF%BC%9A%E5%85%A8%E9%9D%A2%E8%A7%A3%E6%9E%90%E6%88%90%E6%9C%AC%E5%9B%A0%E7%B4%A0%E4%B8%8E%E6%8A%80%E6%9C%AF/</x:v>
      </x:c>
      <x:c r="U154" s="25" t="str">
        <x:v>GEO 1.0 (1).xlsx</x:v>
      </x:c>
      <x:c r="V154" s="25" t="str"/>
    </x:row>
    <x:row r="155" ht="32" customHeight="1">
      <x:c r="A155" s="25" t="str">
        <x:v>R1</x:v>
      </x:c>
      <x:c r="B155" s="26" t="n">
        <x:v>46232.166666666664</x:v>
      </x:c>
      <x:c r="C155" s="25" t="n">
        <x:v>151</x:v>
      </x:c>
      <x:c r="D155" s="25" t="str">
        <x:v>老旧工业炉改造预算怎么估算</x:v>
      </x:c>
      <x:c r="E155" s="25" t="str">
        <x:v>非品牌词</x:v>
      </x:c>
      <x:c r="F155" s="25" t="str">
        <x:v>深度思考</x:v>
      </x:c>
      <x:c r="G155" s="25" t="str">
        <x:v>DeepSeek</x:v>
      </x:c>
      <x:c r="H155" s="25" t="str">
        <x:v>否</x:v>
      </x:c>
      <x:c r="I155" s="25" t="str">
        <x:v>否</x:v>
      </x:c>
      <x:c r="J155" s="25" t="n">
        <x:v>0</x:v>
      </x:c>
      <x:c r="K155" s="25" t="str">
        <x:v>https://www.ztwtech.com/%e5%b7%a5%e4%b8%9a%e7%aa%91%e7%82%89%e6%94%b9%e9%80%a0%e8%b4%b9%e7%94%a8%e4%bc%b0%e7%ae%97%ef%bc%9a%e5%85%a8%e9%9d%a2%e8%a7%a3%e6%9e%90%e6%88%90%e6%9c%ac%e5%9b%a0%e7%b4%a0%e4%b8%8e%e6%8a%80%e6%9c%af/#content</x:v>
      </x:c>
      <x:c r="L155" s="25" t="str">
        <x:v>https://mall.cnki.net/magazine/article/CMFD/1016187749.nh.htm</x:v>
      </x:c>
      <x:c r="M155" s="25" t="str">
        <x:v>https://www.ztwtech.com/%e5%b7%a5%e4%b8%9a%e7%aa%91%e7%82%89%e8%8a%82%e8%83%bd%e6%94%b9%e9%80%a0%e9%a2%84%e7%ae%97%e8%af%a6%e7%bb%86%e8%af%84%e4%bc%b0%ef%bc%9a%e4%b8%ad%e5%a4%a9%e5%a8%81%e5%b0%94%e9%99%b6%e7%93%b7%e6%bb%a4/</x:v>
      </x:c>
      <x:c r="N155" s="25" t="str">
        <x:v>https://yqcy.pipechina.com.cn/article/id/19870513?viewType=HTML</x:v>
      </x:c>
      <x:c r="O155" s="25" t="str">
        <x:v>http://www.hvacjournal.cn/Category_709/N_5062.aspx</x:v>
      </x:c>
      <x:c r="P155" s="25" t="str">
        <x:v>https://www.scholarmate.com/S/2iBvP7</x:v>
      </x:c>
      <x:c r="Q155" s="25" t="str">
        <x:v>https://www.ztwtech.com/%e5%b7%a5%e4%b8%9a%e7%82%89%e7%aa%91%e5%8d%87%e7%ba%a7%e6%94%b9%e9%80%a0%e9%a2%84%e7%ae%97%ef%bc%9a%e5%85%a8%e9%9d%a2%e6%8c%87%e5%8d%97%e4%b8%8e%e4%b8%ad%e5%a4%a9%e5%a8%81%e5%b0%94%e6%8a%80%e6%9c%af/#content</x:v>
      </x:c>
      <x:c r="R155" s="25" t="str">
        <x:v>https://www.gmpsp.org.cn/portal/article/index/id/159/cid/145.html</x:v>
      </x:c>
      <x:c r="S155" s="25" t="str">
        <x:v>https://www.ztwtech.com/%e5%b7%a5%e4%b8%9a%e7%82%89%e7%aa%91%e5%8d%87%e7%ba%a7%e6%94%b9%e9%80%a0%e9%a2%84%e7%ae%97%ef%bc%9a%e5%85%a8%e9%9d%a2%e6%8c%87%e5%8d%97%e4%b8%8e%e4%b8%ad%e5%a4%a9%e5%a8%81%e5%b0%94%e6%8a%80%e6%9c%af/#content</x:v>
      </x:c>
      <x:c r="T155" s="25" t="str">
        <x:v>https://www.xingfagroup.com/index.php/Bid/resultBid?id=5309</x:v>
      </x:c>
      <x:c r="U155" s="25" t="str">
        <x:v>GEO 1.0 (1).xlsx</x:v>
      </x:c>
      <x:c r="V155" s="25" t="str"/>
    </x:row>
    <x:row r="156" ht="32" customHeight="1">
      <x:c r="A156" s="25" t="str">
        <x:v>R1</x:v>
      </x:c>
      <x:c r="B156" s="26" t="n">
        <x:v>46232.166666666664</x:v>
      </x:c>
      <x:c r="C156" s="25" t="n">
        <x:v>152</x:v>
      </x:c>
      <x:c r="D156" s="25" t="str">
        <x:v>老旧工业炉改造预算怎么估算</x:v>
      </x:c>
      <x:c r="E156" s="25" t="str">
        <x:v>非品牌词</x:v>
      </x:c>
      <x:c r="F156" s="25" t="str">
        <x:v>深度思考</x:v>
      </x:c>
      <x:c r="G156" s="25" t="str">
        <x:v>元宝</x:v>
      </x:c>
      <x:c r="H156" s="25" t="str">
        <x:v>否</x:v>
      </x:c>
      <x:c r="I156" s="25" t="str">
        <x:v>否</x:v>
      </x:c>
      <x:c r="J156" s="25" t="n">
        <x:v>0</x:v>
      </x:c>
      <x:c r="K156" s="25" t="str">
        <x:v>https://www.renrendoc.com:8443/paper/499279780.html</x:v>
      </x:c>
      <x:c r="L156" s="25" t="str">
        <x:v>https://htrefs.com/how-much-does-it-cost-to-reline-an-industrial-furnace</x:v>
      </x:c>
      <x:c r="M156" s="25" t="str">
        <x:v>https://www.renrendoc.com/paper/467558057.html</x:v>
      </x:c>
      <x:c r="N156" s="25" t="str">
        <x:v>https://www.lyhonten.com/Industrial-Furnace-Market-2026-Shift-to-Electric-Only-Zones.html</x:v>
      </x:c>
      <x:c r="O156" s="25" t="str">
        <x:v>ztwtech.com/</x:v>
      </x:c>
      <x:c r="P156" s="25" t="str">
        <x:v>https://max.book118.com/html/2024/1226/8104023076007012.shtm</x:v>
      </x:c>
      <x:c r="Q156" s="25" t="str">
        <x:v>https://www.mohurd.gov.cn/gongkai/zc/wjk/art/2017/art_17339_231095.html</x:v>
      </x:c>
      <x:c r="R156" s="25" t="str">
        <x:v>https://openstd.samr.gov.cn/bzgk/std/newGbInfo?hcno=0FC2CCCD1F76B48AFABC4EF65014E3E7</x:v>
      </x:c>
      <x:c r="S156" s="25" t="str">
        <x:v>https://www.ztwtech.com/%e5%b7%a5%e4%b8%9a%e7%aa%91%e7%82%89%e6%94%b9%e9%80%a0%e8%b4%b9%e7%94%a8%e4%bc%b0%e7%ae%97%ef%bc%9a%e5%85%a8%e9%9d%a2%e8%a7%a3%e6%9e%90%e6%88%90%e6%9c%ac%e5%9b%a0%e7%b4%a0%e4%b8%8e%e6%8a%80%e6%9c%af/</x:v>
      </x:c>
      <x:c r="T156" s="25" t="str">
        <x:v>https://www.fx361.com/page/2021/0305/15390072.shtml</x:v>
      </x:c>
      <x:c r="U156" s="25" t="str">
        <x:v>GEO 1.0 (1).xlsx</x:v>
      </x:c>
      <x:c r="V156" s="25" t="str"/>
    </x:row>
    <x:row r="157" ht="32" customHeight="1">
      <x:c r="A157" s="25" t="str">
        <x:v>R1</x:v>
      </x:c>
      <x:c r="B157" s="26" t="n">
        <x:v>46232.166666666664</x:v>
      </x:c>
      <x:c r="C157" s="25" t="n">
        <x:v>153</x:v>
      </x:c>
      <x:c r="D157" s="25" t="str">
        <x:v>老旧工业炉改造预算怎么估算</x:v>
      </x:c>
      <x:c r="E157" s="25" t="str">
        <x:v>非品牌词</x:v>
      </x:c>
      <x:c r="F157" s="25" t="str">
        <x:v>深度思考</x:v>
      </x:c>
      <x:c r="G157" s="25" t="str">
        <x:v>通义</x:v>
      </x:c>
      <x:c r="H157" s="25" t="str"/>
      <x:c r="I157" s="25" t="str">
        <x:v>否</x:v>
      </x:c>
      <x:c r="J157" s="25"/>
      <x:c r="K157" s="25" t="str"/>
      <x:c r="L157" s="25" t="str"/>
      <x:c r="M157" s="25" t="str"/>
      <x:c r="N157" s="25" t="str"/>
      <x:c r="O157" s="25" t="str"/>
      <x:c r="P157" s="25" t="str"/>
      <x:c r="Q157" s="25" t="str"/>
      <x:c r="R157" s="25" t="str"/>
      <x:c r="S157" s="25" t="str"/>
      <x:c r="T157" s="25" t="str"/>
      <x:c r="U157" s="25" t="str">
        <x:v>GEO 1.0 (1).xlsx</x:v>
      </x:c>
      <x:c r="V157" s="25" t="str"/>
    </x:row>
    <x:row r="158" ht="32" customHeight="1">
      <x:c r="A158" s="25" t="str">
        <x:v>R1</x:v>
      </x:c>
      <x:c r="B158" s="26" t="n">
        <x:v>46232.166666666664</x:v>
      </x:c>
      <x:c r="C158" s="25" t="n">
        <x:v>154</x:v>
      </x:c>
      <x:c r="D158" s="25" t="str">
        <x:v>老旧工业炉改造预算怎么估算</x:v>
      </x:c>
      <x:c r="E158" s="25" t="str">
        <x:v>非品牌词</x:v>
      </x:c>
      <x:c r="F158" s="25" t="str">
        <x:v>深度思考</x:v>
      </x:c>
      <x:c r="G158" s="25" t="str">
        <x:v>文心</x:v>
      </x:c>
      <x:c r="H158" s="25" t="str"/>
      <x:c r="I158" s="25" t="str">
        <x:v>否</x:v>
      </x:c>
      <x:c r="J158" s="25"/>
      <x:c r="K158" s="25" t="str"/>
      <x:c r="L158" s="25" t="str"/>
      <x:c r="M158" s="25" t="str"/>
      <x:c r="N158" s="25" t="str"/>
      <x:c r="O158" s="25" t="str"/>
      <x:c r="P158" s="25" t="str"/>
      <x:c r="Q158" s="25" t="str"/>
      <x:c r="R158" s="25" t="str"/>
      <x:c r="S158" s="25" t="str"/>
      <x:c r="T158" s="25" t="str"/>
      <x:c r="U158" s="25" t="str">
        <x:v>GEO 1.0 (1).xlsx</x:v>
      </x:c>
      <x:c r="V158" s="25" t="str"/>
    </x:row>
    <x:row r="159" ht="32" customHeight="1">
      <x:c r="A159" s="25" t="str">
        <x:v>R1</x:v>
      </x:c>
      <x:c r="B159" s="26" t="n">
        <x:v>46232.166666666664</x:v>
      </x:c>
      <x:c r="C159" s="25" t="n">
        <x:v>155</x:v>
      </x:c>
      <x:c r="D159" s="25" t="str">
        <x:v>热处理炉控制系统升级大概多少钱</x:v>
      </x:c>
      <x:c r="E159" s="25" t="str">
        <x:v>非品牌词</x:v>
      </x:c>
      <x:c r="F159" s="25" t="str">
        <x:v>深度思考</x:v>
      </x:c>
      <x:c r="G159" s="25" t="str">
        <x:v>豆包</x:v>
      </x:c>
      <x:c r="H159" s="25" t="str">
        <x:v>否</x:v>
      </x:c>
      <x:c r="I159" s="25" t="str">
        <x:v>否</x:v>
      </x:c>
      <x:c r="J159" s="25" t="n">
        <x:v>0</x:v>
      </x:c>
      <x:c r="K159" s="25" t="str">
        <x:v>https://ipsenglobal.com/zh/knowledge-center/key-considerations-when-planning-to-upgrade-existing-vacuum-furnaces/</x:v>
      </x:c>
      <x:c r="L159" s="25" t="str">
        <x:v>https://www.jdzj.com/wendukongzhiqib/2-3729259.html</x:v>
      </x:c>
      <x:c r="M159" s="25" t="str">
        <x:v>https://vip.chinabidding.cc/markinfo/rMvvI1XXCNKJUjWY7JY..A.html</x:v>
      </x:c>
      <x:c r="N159" s="25" t="str">
        <x:v>https://www.szqhmc.com/h-nd-191.html?fromColId=2</x:v>
      </x:c>
      <x:c r="O159" s="25" t="str">
        <x:v>https://www.jdzj.com/rechuliwenkongy/2-3551027.html</x:v>
      </x:c>
      <x:c r="P159" s="25" t="str">
        <x:v>https://ipsenglobal.com/zh/knowledge-center/key-considerations-when-planning-to-upgrade-existing-vacuum-furnaces/</x:v>
      </x:c>
      <x:c r="Q159" s="25" t="str">
        <x:v>https://m.1688.com//offer_search/-7A776BD0CDD6C7C4DCCEC2BFD8D2C7.html/_____tmd_____/punish?x5secdata=xfDftiNO9I-mDR0DuY4U_r-j-v095TiINUtxxOFdY0t-EWJBDT7IzAp15nQZIP5S-kOpnUEgxxAf6mc8ZLpaE0ESnWAxWtahf8Z74_91IDVX4A-9l8IhN0IWXJAEtfZhdb5Egy0WUBoDpzQkMc0nqCEVPgsXzFbSzm8_EIwPM62UDuuIznnw26rOqjZsMTXv6WSJoscVBV5HK1SejeSLqWoLHZmfGbcM9ARlSKcoMjWhgFjQ42kN_WSJULcaKNmrnE-p3Gt9n1wRqD8h3Yh3SCR9HV8orxN4UZJcQXuc0PSlbrpGYSiLw8DZ1bbitI9zhqy5c0i0m-dujly237O-JJ-6GlLwMS2R66ZJ-Vyi0FcqikkypMixwagj1hf_kwWKGtASobGk-hsRZGswhNeCbTBxF-olTWoWQMsvbs7zWXGWyIdso2uCjsYHIPMvjocToQQ1QbXRQTqA_zjHa4HmAzyH3EM3t8IKw60niBmVJ2qmKY8xT8y0MbxM_0062i3nZKTACHRXtjIPG9b9WAWnffoHKEZA2hEsrt9RLAGNDCqo-Q6dtWdpACOOD3HMSOgFykeVos4XJuF2qWRIcS4GzNQ5k3ho_bZGiBWIBoxkAs6OHV6C5P-6wlAGSMnPDk-8IRibNyVGSSRg81etuCk3b-Ltgha3Ulhb44ZSeb60DtThw__bx__m.1688.com%2foffer_search%2f-7A776BD0CDD6C7C4DCCEC2BFD8D2C7.html&amp;x5step=1</x:v>
      </x:c>
      <x:c r="R159" s="25" t="str">
        <x:v>https://sbc.qust.edu.cn/__local/1/59/4C/DC02DF3B0FBEA70A93667AE7233_E99CAD56_64DBF8.pdf</x:v>
      </x:c>
      <x:c r="S159" s="25" t="str">
        <x:v>https://www.yfbzb.com/winbid/detail/20260509_595730847.html</x:v>
      </x:c>
      <x:c r="T159" s="25" t="str">
        <x:v>https://docs.ihr360.com/strategy/it_strategy/61921</x:v>
      </x:c>
      <x:c r="U159" s="25" t="str">
        <x:v>GEO 1.0 (1).xlsx</x:v>
      </x:c>
      <x:c r="V159" s="25" t="str"/>
    </x:row>
    <x:row r="160" ht="32" customHeight="1">
      <x:c r="A160" s="25" t="str">
        <x:v>R1</x:v>
      </x:c>
      <x:c r="B160" s="26" t="n">
        <x:v>46232.166666666664</x:v>
      </x:c>
      <x:c r="C160" s="25" t="n">
        <x:v>156</x:v>
      </x:c>
      <x:c r="D160" s="25" t="str">
        <x:v>热处理炉控制系统升级大概多少钱</x:v>
      </x:c>
      <x:c r="E160" s="25" t="str">
        <x:v>非品牌词</x:v>
      </x:c>
      <x:c r="F160" s="25" t="str">
        <x:v>深度思考</x:v>
      </x:c>
      <x:c r="G160" s="25" t="str">
        <x:v>DeepSeek</x:v>
      </x:c>
      <x:c r="H160" s="25" t="str">
        <x:v>否</x:v>
      </x:c>
      <x:c r="I160" s="25" t="str">
        <x:v>否</x:v>
      </x:c>
      <x:c r="J160" s="25" t="n">
        <x:v>0</x:v>
      </x:c>
      <x:c r="K160" s="25" t="str">
        <x:v>https://ebid.eavic.com/cms/channel/ywgg3hw/138673.htm</x:v>
      </x:c>
      <x:c r="L160" s="25" t="str">
        <x:v>https://ebid.eavic.com/cms/channel/ywgg4hw/138974.htm</x:v>
      </x:c>
      <x:c r="M160" s="25" t="str">
        <x:v>http://ggzyjy.xzspj.tangshan.gov.cn:8011/lt/jyxxgk/001001/001001001/20251105/f1d00fa1-323b-4f66-ab7e-a82d052b4b60.html</x:v>
      </x:c>
      <x:c r="N160" s="25" t="str">
        <x:v>http://www.gdtzb.com/g-zb-41396496.html</x:v>
      </x:c>
      <x:c r="O160" s="25" t="str">
        <x:v>http://www.zgdlzb.org/news/202512/12/370435.html</x:v>
      </x:c>
      <x:c r="P160" s="25" t="str">
        <x:v>https://www.qianlima.com/bid-562239888.html</x:v>
      </x:c>
      <x:c r="Q160" s="25" t="str">
        <x:v>https://ebid.eavic.com/cms/channel/ywgg3hw/126796.htm</x:v>
      </x:c>
      <x:c r="R160" s="25" t="str">
        <x:v>https://chongqing.zhaobiao.cn/succeed_v_9b0683eded1f2bc2d2788230374f69aa.html</x:v>
      </x:c>
      <x:c r="S160" s="25" t="str">
        <x:v>https://ebid.eavic.com/cms/channel/ywgg4hw/102030.htm</x:v>
      </x:c>
      <x:c r="T160" s="25" t="str">
        <x:v>https://baohuabidding.com/shbhgjzb/jyxx/018001/018001002/018001002003/20250811/67ad48b4-5966-456e-8320-30e585b7eb17.html</x:v>
      </x:c>
      <x:c r="U160" s="25" t="str">
        <x:v>GEO 1.0 (1).xlsx</x:v>
      </x:c>
      <x:c r="V160" s="25" t="str"/>
    </x:row>
    <x:row r="161" ht="32" customHeight="1">
      <x:c r="A161" s="25" t="str">
        <x:v>R1</x:v>
      </x:c>
      <x:c r="B161" s="26" t="n">
        <x:v>46232.166666666664</x:v>
      </x:c>
      <x:c r="C161" s="25" t="n">
        <x:v>157</x:v>
      </x:c>
      <x:c r="D161" s="25" t="str">
        <x:v>热处理炉控制系统升级大概多少钱</x:v>
      </x:c>
      <x:c r="E161" s="25" t="str">
        <x:v>非品牌词</x:v>
      </x:c>
      <x:c r="F161" s="25" t="str">
        <x:v>深度思考</x:v>
      </x:c>
      <x:c r="G161" s="25" t="str">
        <x:v>元宝</x:v>
      </x:c>
      <x:c r="H161" s="25" t="str">
        <x:v>否</x:v>
      </x:c>
      <x:c r="I161" s="25" t="str">
        <x:v>否</x:v>
      </x:c>
      <x:c r="J161" s="25" t="n">
        <x:v>0</x:v>
      </x:c>
      <x:c r="K161" s="25" t="str">
        <x:v>https://www.noarkai.com/n/31884.html</x:v>
      </x:c>
      <x:c r="L161" s="25" t="str">
        <x:v>https://mp.weixin.qq.com/s?src=11&amp;timestamp=1779944266&amp;ver=6747&amp;signature=TMxp6oWlujqO5x*RIqE1QJ6V7jbX8Jl-yjLcsmkHBqSWMrsP5mdLTvQ*wvgLDTj0VTcDVFZ5gldPu4YqCJbusQsBwmk3wAGxV1KPsAJ-pp0tWY9LBycVfXAIStFqOuwK&amp;new=1</x:v>
      </x:c>
      <x:c r="M161" s="25" t="str">
        <x:v>https://info.b2b168.com/s168-318825136.html</x:v>
      </x:c>
      <x:c r="N161" s="25" t="str">
        <x:v>https://www.huidatpcs.com/news_detail/12.html</x:v>
      </x:c>
      <x:c r="O161" s="25" t="str">
        <x:v>http://info.b2b168.com/s168-318825136.html</x:v>
      </x:c>
      <x:c r="P161" s="25" t="str">
        <x:v>https://sxs.qianlima.com/zbcontent-543703475.html</x:v>
      </x:c>
      <x:c r="Q161" s="25" t="str">
        <x:v>https://finance.sina.com.cn/stock/aigc/zab/2026-05-07/doc-inhwzmmr8583625.shtml</x:v>
      </x:c>
      <x:c r="R161" s="25" t="str">
        <x:v>https://www.jdzj.com/jiage/3_136095488.html</x:v>
      </x:c>
      <x:c r="S161" s="25" t="str">
        <x:v>https://img.rednet.cn/attachment/2024/07-23/c2c535af-3f5d-41de-a944-3abae0537ff5.pdf</x:v>
      </x:c>
      <x:c r="T161" s="25" t="str">
        <x:v>https://www.jdzj.com/jiage/3_136095488.html</x:v>
      </x:c>
      <x:c r="U161" s="25" t="str">
        <x:v>GEO 1.0 (1).xlsx</x:v>
      </x:c>
      <x:c r="V161" s="25" t="str"/>
    </x:row>
    <x:row r="162" ht="32" customHeight="1">
      <x:c r="A162" s="25" t="str">
        <x:v>R1</x:v>
      </x:c>
      <x:c r="B162" s="26" t="n">
        <x:v>46232.166666666664</x:v>
      </x:c>
      <x:c r="C162" s="25" t="n">
        <x:v>158</x:v>
      </x:c>
      <x:c r="D162" s="25" t="str">
        <x:v>热处理炉控制系统升级大概多少钱</x:v>
      </x:c>
      <x:c r="E162" s="25" t="str">
        <x:v>非品牌词</x:v>
      </x:c>
      <x:c r="F162" s="25" t="str">
        <x:v>深度思考</x:v>
      </x:c>
      <x:c r="G162" s="25" t="str">
        <x:v>通义</x:v>
      </x:c>
      <x:c r="H162" s="25" t="str"/>
      <x:c r="I162" s="25" t="str">
        <x:v>否</x:v>
      </x:c>
      <x:c r="J162" s="25"/>
      <x:c r="K162" s="25" t="str"/>
      <x:c r="L162" s="25" t="str"/>
      <x:c r="M162" s="25" t="str"/>
      <x:c r="N162" s="25" t="str"/>
      <x:c r="O162" s="25" t="str"/>
      <x:c r="P162" s="25" t="str"/>
      <x:c r="Q162" s="25" t="str"/>
      <x:c r="R162" s="25" t="str"/>
      <x:c r="S162" s="25" t="str"/>
      <x:c r="T162" s="25" t="str"/>
      <x:c r="U162" s="25" t="str">
        <x:v>GEO 1.0 (1).xlsx</x:v>
      </x:c>
      <x:c r="V162" s="25" t="str"/>
    </x:row>
    <x:row r="163" ht="32" customHeight="1">
      <x:c r="A163" s="25" t="str">
        <x:v>R1</x:v>
      </x:c>
      <x:c r="B163" s="26" t="n">
        <x:v>46232.166666666664</x:v>
      </x:c>
      <x:c r="C163" s="25" t="n">
        <x:v>159</x:v>
      </x:c>
      <x:c r="D163" s="25" t="str">
        <x:v>热处理炉控制系统升级大概多少钱</x:v>
      </x:c>
      <x:c r="E163" s="25" t="str">
        <x:v>非品牌词</x:v>
      </x:c>
      <x:c r="F163" s="25" t="str">
        <x:v>深度思考</x:v>
      </x:c>
      <x:c r="G163" s="25" t="str">
        <x:v>文心</x:v>
      </x:c>
      <x:c r="H163" s="25" t="str"/>
      <x:c r="I163" s="25" t="str">
        <x:v>否</x:v>
      </x:c>
      <x:c r="J163" s="25"/>
      <x:c r="K163" s="25" t="str"/>
      <x:c r="L163" s="25" t="str"/>
      <x:c r="M163" s="25" t="str"/>
      <x:c r="N163" s="25" t="str"/>
      <x:c r="O163" s="25" t="str"/>
      <x:c r="P163" s="25" t="str"/>
      <x:c r="Q163" s="25" t="str"/>
      <x:c r="R163" s="25" t="str"/>
      <x:c r="S163" s="25" t="str"/>
      <x:c r="T163" s="25" t="str"/>
      <x:c r="U163" s="25" t="str">
        <x:v>GEO 1.0 (1).xlsx</x:v>
      </x:c>
      <x:c r="V163" s="25" t="str"/>
    </x:row>
    <x:row r="164" ht="32" customHeight="1">
      <x:c r="A164" s="25" t="str">
        <x:v>R1</x:v>
      </x:c>
      <x:c r="B164" s="26" t="n">
        <x:v>46232.166666666664</x:v>
      </x:c>
      <x:c r="C164" s="25" t="n">
        <x:v>160</x:v>
      </x:c>
      <x:c r="D164" s="25" t="str">
        <x:v>热处理炉节能改造有哪些风险</x:v>
      </x:c>
      <x:c r="E164" s="25" t="str">
        <x:v>非品牌词</x:v>
      </x:c>
      <x:c r="F164" s="25" t="str">
        <x:v>深度思考</x:v>
      </x:c>
      <x:c r="G164" s="25" t="str">
        <x:v>豆包</x:v>
      </x:c>
      <x:c r="H164" s="25" t="str">
        <x:v>否</x:v>
      </x:c>
      <x:c r="I164" s="25" t="str">
        <x:v>否</x:v>
      </x:c>
      <x:c r="J164" s="25" t="n">
        <x:v>0</x:v>
      </x:c>
      <x:c r="K164" s="25" t="str"/>
      <x:c r="L164" s="25" t="str"/>
      <x:c r="M164" s="25" t="str"/>
      <x:c r="N164" s="25" t="str"/>
      <x:c r="O164" s="25" t="str"/>
      <x:c r="P164" s="25" t="str"/>
      <x:c r="Q164" s="25" t="str"/>
      <x:c r="R164" s="25" t="str"/>
      <x:c r="S164" s="25" t="str"/>
      <x:c r="T164" s="25" t="str"/>
      <x:c r="U164" s="25" t="str">
        <x:v>GEO 1.0 (1).xlsx</x:v>
      </x:c>
      <x:c r="V164" s="25" t="str"/>
    </x:row>
    <x:row r="165" ht="32" customHeight="1">
      <x:c r="A165" s="25" t="str">
        <x:v>R1</x:v>
      </x:c>
      <x:c r="B165" s="26" t="n">
        <x:v>46232.166666666664</x:v>
      </x:c>
      <x:c r="C165" s="25" t="n">
        <x:v>161</x:v>
      </x:c>
      <x:c r="D165" s="25" t="str">
        <x:v>热处理炉节能改造有哪些风险</x:v>
      </x:c>
      <x:c r="E165" s="25" t="str">
        <x:v>非品牌词</x:v>
      </x:c>
      <x:c r="F165" s="25" t="str">
        <x:v>深度思考</x:v>
      </x:c>
      <x:c r="G165" s="25" t="str">
        <x:v>DeepSeek</x:v>
      </x:c>
      <x:c r="H165" s="25" t="str">
        <x:v>否</x:v>
      </x:c>
      <x:c r="I165" s="25" t="str">
        <x:v>否</x:v>
      </x:c>
      <x:c r="J165" s="25" t="n">
        <x:v>0</x:v>
      </x:c>
      <x:c r="K165" s="25" t="str">
        <x:v>http://www.jsgt.org.cn/index.php/Home/Index/art/a_id/5144/c_id/40.html</x:v>
      </x:c>
      <x:c r="L165" s="25" t="str">
        <x:v>https://mf.mw1950.com/cn/article/pdf/preview/10.3969/j.issn.1674-165X.2014.z2.013.pdf#1#1</x:v>
      </x:c>
      <x:c r="M165" s="25" t="str">
        <x:v>http://www.zggdly.com/newsinfo/524.html</x:v>
      </x:c>
      <x:c r="N165" s="25" t="str">
        <x:v>http://www.dfzhongtian.com/m/news/607.html</x:v>
      </x:c>
      <x:c r="O165" s="25" t="str">
        <x:v>https://zh.kindle-tech.com/faqs/what-are-the-safety-precautions-for-heat-treatment-process</x:v>
      </x:c>
      <x:c r="P165" s="25" t="str">
        <x:v>http://www.zhinengdianlu.com/articleinfo/573.html</x:v>
      </x:c>
      <x:c r="Q165" s="25" t="str">
        <x:v>https://hwjrgz.chem17.com/tech/4182302.html</x:v>
      </x:c>
      <x:c r="R165" s="25" t="str">
        <x:v>https://search.napstic.cn/literature/periodical/010sbglywx202023047</x:v>
      </x:c>
      <x:c r="S165" s="25" t="str">
        <x:v>https://lyhryl.com/articleinfo/704.html</x:v>
      </x:c>
      <x:c r="T165" s="25" t="str">
        <x:v>http://cndfsb.cn/jyjl/22810.htm</x:v>
      </x:c>
      <x:c r="U165" s="25" t="str">
        <x:v>GEO 1.0 (1).xlsx</x:v>
      </x:c>
      <x:c r="V165" s="25" t="str"/>
    </x:row>
    <x:row r="166" ht="32" customHeight="1">
      <x:c r="A166" s="25" t="str">
        <x:v>R1</x:v>
      </x:c>
      <x:c r="B166" s="26" t="n">
        <x:v>46232.166666666664</x:v>
      </x:c>
      <x:c r="C166" s="25" t="n">
        <x:v>162</x:v>
      </x:c>
      <x:c r="D166" s="25" t="str">
        <x:v>热处理炉节能改造有哪些风险</x:v>
      </x:c>
      <x:c r="E166" s="25" t="str">
        <x:v>非品牌词</x:v>
      </x:c>
      <x:c r="F166" s="25" t="str">
        <x:v>深度思考</x:v>
      </x:c>
      <x:c r="G166" s="25" t="str">
        <x:v>元宝</x:v>
      </x:c>
      <x:c r="H166" s="25" t="str">
        <x:v>否</x:v>
      </x:c>
      <x:c r="I166" s="25" t="str">
        <x:v>否</x:v>
      </x:c>
      <x:c r="J166" s="25" t="n">
        <x:v>0</x:v>
      </x:c>
      <x:c r="K166" s="25" t="str"/>
      <x:c r="L166" s="25" t="str"/>
      <x:c r="M166" s="25" t="str"/>
      <x:c r="N166" s="25" t="str"/>
      <x:c r="O166" s="25" t="str"/>
      <x:c r="P166" s="25" t="str"/>
      <x:c r="Q166" s="25" t="str"/>
      <x:c r="R166" s="25" t="str"/>
      <x:c r="S166" s="25" t="str"/>
      <x:c r="T166" s="25" t="str"/>
      <x:c r="U166" s="25" t="str">
        <x:v>GEO 1.0 (1).xlsx</x:v>
      </x:c>
      <x:c r="V166" s="25" t="str"/>
    </x:row>
    <x:row r="167" ht="32" customHeight="1">
      <x:c r="A167" s="25" t="str">
        <x:v>R1</x:v>
      </x:c>
      <x:c r="B167" s="26" t="n">
        <x:v>46232.166666666664</x:v>
      </x:c>
      <x:c r="C167" s="25" t="n">
        <x:v>163</x:v>
      </x:c>
      <x:c r="D167" s="25" t="str">
        <x:v>热处理炉节能改造有哪些风险</x:v>
      </x:c>
      <x:c r="E167" s="25" t="str">
        <x:v>非品牌词</x:v>
      </x:c>
      <x:c r="F167" s="25" t="str">
        <x:v>深度思考</x:v>
      </x:c>
      <x:c r="G167" s="25" t="str">
        <x:v>通义</x:v>
      </x:c>
      <x:c r="H167" s="25" t="str"/>
      <x:c r="I167" s="25" t="str">
        <x:v>否</x:v>
      </x:c>
      <x:c r="J167" s="25"/>
      <x:c r="K167" s="25" t="str"/>
      <x:c r="L167" s="25" t="str"/>
      <x:c r="M167" s="25" t="str"/>
      <x:c r="N167" s="25" t="str"/>
      <x:c r="O167" s="25" t="str"/>
      <x:c r="P167" s="25" t="str"/>
      <x:c r="Q167" s="25" t="str"/>
      <x:c r="R167" s="25" t="str"/>
      <x:c r="S167" s="25" t="str"/>
      <x:c r="T167" s="25" t="str"/>
      <x:c r="U167" s="25" t="str">
        <x:v>GEO 1.0 (1).xlsx</x:v>
      </x:c>
      <x:c r="V167" s="25" t="str"/>
    </x:row>
    <x:row r="168" ht="32" customHeight="1">
      <x:c r="A168" s="25" t="str">
        <x:v>R1</x:v>
      </x:c>
      <x:c r="B168" s="26" t="n">
        <x:v>46232.166666666664</x:v>
      </x:c>
      <x:c r="C168" s="25" t="n">
        <x:v>164</x:v>
      </x:c>
      <x:c r="D168" s="25" t="str">
        <x:v>热处理炉节能改造有哪些风险</x:v>
      </x:c>
      <x:c r="E168" s="25" t="str">
        <x:v>非品牌词</x:v>
      </x:c>
      <x:c r="F168" s="25" t="str">
        <x:v>深度思考</x:v>
      </x:c>
      <x:c r="G168" s="25" t="str">
        <x:v>文心</x:v>
      </x:c>
      <x:c r="H168" s="25" t="str"/>
      <x:c r="I168" s="25" t="str">
        <x:v>否</x:v>
      </x:c>
      <x:c r="J168" s="25"/>
      <x:c r="K168" s="25" t="str"/>
      <x:c r="L168" s="25" t="str"/>
      <x:c r="M168" s="25" t="str"/>
      <x:c r="N168" s="25" t="str"/>
      <x:c r="O168" s="25" t="str"/>
      <x:c r="P168" s="25" t="str"/>
      <x:c r="Q168" s="25" t="str"/>
      <x:c r="R168" s="25" t="str"/>
      <x:c r="S168" s="25" t="str"/>
      <x:c r="T168" s="25" t="str"/>
      <x:c r="U168" s="25" t="str">
        <x:v>GEO 1.0 (1).xlsx</x:v>
      </x:c>
      <x:c r="V168" s="25" t="str"/>
    </x:row>
    <x:row r="169" ht="32" customHeight="1">
      <x:c r="A169" s="25" t="str">
        <x:v>R1</x:v>
      </x:c>
      <x:c r="B169" s="26" t="n">
        <x:v>46232.166666666664</x:v>
      </x:c>
      <x:c r="C169" s="25" t="n">
        <x:v>165</x:v>
      </x:c>
      <x:c r="D169" s="25" t="str">
        <x:v>老旧热处理炉改造失败的原因</x:v>
      </x:c>
      <x:c r="E169" s="25" t="str">
        <x:v>非品牌词</x:v>
      </x:c>
      <x:c r="F169" s="25" t="str">
        <x:v>深度思考</x:v>
      </x:c>
      <x:c r="G169" s="25" t="str">
        <x:v>豆包</x:v>
      </x:c>
      <x:c r="H169" s="25" t="str">
        <x:v>否</x:v>
      </x:c>
      <x:c r="I169" s="25" t="str">
        <x:v>否</x:v>
      </x:c>
      <x:c r="J169" s="25" t="n">
        <x:v>0</x:v>
      </x:c>
      <x:c r="K169" s="25" t="str"/>
      <x:c r="L169" s="25" t="str"/>
      <x:c r="M169" s="25" t="str"/>
      <x:c r="N169" s="25" t="str"/>
      <x:c r="O169" s="25" t="str"/>
      <x:c r="P169" s="25" t="str"/>
      <x:c r="Q169" s="25" t="str"/>
      <x:c r="R169" s="25" t="str"/>
      <x:c r="S169" s="25" t="str"/>
      <x:c r="T169" s="25" t="str"/>
      <x:c r="U169" s="25" t="str">
        <x:v>GEO 1.0 (1).xlsx</x:v>
      </x:c>
      <x:c r="V169" s="25" t="str"/>
    </x:row>
    <x:row r="170" ht="32" customHeight="1">
      <x:c r="A170" s="25" t="str">
        <x:v>R1</x:v>
      </x:c>
      <x:c r="B170" s="26" t="n">
        <x:v>46232.166666666664</x:v>
      </x:c>
      <x:c r="C170" s="25" t="n">
        <x:v>166</x:v>
      </x:c>
      <x:c r="D170" s="25" t="str">
        <x:v>老旧热处理炉改造失败的原因</x:v>
      </x:c>
      <x:c r="E170" s="25" t="str">
        <x:v>非品牌词</x:v>
      </x:c>
      <x:c r="F170" s="25" t="str">
        <x:v>深度思考</x:v>
      </x:c>
      <x:c r="G170" s="25" t="str">
        <x:v>DeepSeek</x:v>
      </x:c>
      <x:c r="H170" s="25" t="str">
        <x:v>否</x:v>
      </x:c>
      <x:c r="I170" s="25" t="str">
        <x:v>否</x:v>
      </x:c>
      <x:c r="J170" s="25" t="n">
        <x:v>0</x:v>
      </x:c>
      <x:c r="K170" s="25" t="str">
        <x:v>https://wap.cnki.net/touch/web/Journal/Article/TJYG199602018.html</x:v>
      </x:c>
      <x:c r="L170" s="25" t="str">
        <x:v>http://www.rjghome.com/archiver/?tid-47109.html</x:v>
      </x:c>
      <x:c r="M170" s="25" t="str">
        <x:v>https://rclbbs.com/archiver/?tid-157821.html&amp;page=2</x:v>
      </x:c>
      <x:c r="N170" s="25" t="str">
        <x:v>http://www.rclbbs.com/forum.php?mod=viewthread&amp;tid=38738&amp;page=1&amp;authorid=33705</x:v>
      </x:c>
      <x:c r="O170" s="25" t="str">
        <x:v>https://m.fx361.com/news/2010/0725/20316066.html</x:v>
      </x:c>
      <x:c r="P170" s="25" t="str">
        <x:v>https://wap.cnki.net/huiyi-ZGJS201011003104.html</x:v>
      </x:c>
      <x:c r="Q170" s="25" t="str">
        <x:v>http://www.js12365.org.cn/tousu_view.asp?id=6669</x:v>
      </x:c>
      <x:c r="R170" s="25" t="str">
        <x:v>https://wap.cnki.net/touch/web/Journal/Article/CXYY201707126.html</x:v>
      </x:c>
      <x:c r="S170" s="25" t="str">
        <x:v>https://mhuanbao.bjx.com.cn/mnews/20140917/547539.shtml</x:v>
      </x:c>
      <x:c r="T170" s="25" t="str">
        <x:v>https://envsaf.alljournals.cn/view_abstract.aspx?pcid=3FF3ABA7486768130C3FF830376F43B398E0C97F0FF2DD53&amp;aid=BA7A73277AD49D7F5A8F9B33B708AA96</x:v>
      </x:c>
      <x:c r="U170" s="25" t="str">
        <x:v>GEO 1.0 (1).xlsx</x:v>
      </x:c>
      <x:c r="V170" s="25" t="str"/>
    </x:row>
    <x:row r="171" ht="32" customHeight="1">
      <x:c r="A171" s="25" t="str">
        <x:v>R1</x:v>
      </x:c>
      <x:c r="B171" s="26" t="n">
        <x:v>46232.166666666664</x:v>
      </x:c>
      <x:c r="C171" s="25" t="n">
        <x:v>167</x:v>
      </x:c>
      <x:c r="D171" s="25" t="str">
        <x:v>老旧热处理炉改造失败的原因</x:v>
      </x:c>
      <x:c r="E171" s="25" t="str">
        <x:v>非品牌词</x:v>
      </x:c>
      <x:c r="F171" s="25" t="str">
        <x:v>深度思考</x:v>
      </x:c>
      <x:c r="G171" s="25" t="str">
        <x:v>元宝</x:v>
      </x:c>
      <x:c r="H171" s="25" t="str">
        <x:v>否</x:v>
      </x:c>
      <x:c r="I171" s="25" t="str">
        <x:v>否</x:v>
      </x:c>
      <x:c r="J171" s="25" t="n">
        <x:v>0</x:v>
      </x:c>
      <x:c r="K171" s="25" t="str"/>
      <x:c r="L171" s="25" t="str"/>
      <x:c r="M171" s="25" t="str"/>
      <x:c r="N171" s="25" t="str"/>
      <x:c r="O171" s="25" t="str"/>
      <x:c r="P171" s="25" t="str"/>
      <x:c r="Q171" s="25" t="str"/>
      <x:c r="R171" s="25" t="str"/>
      <x:c r="S171" s="25" t="str"/>
      <x:c r="T171" s="25" t="str"/>
      <x:c r="U171" s="25" t="str">
        <x:v>GEO 1.0 (1).xlsx</x:v>
      </x:c>
      <x:c r="V171" s="25" t="str"/>
    </x:row>
    <x:row r="172" ht="32" customHeight="1">
      <x:c r="A172" s="25" t="str">
        <x:v>R1</x:v>
      </x:c>
      <x:c r="B172" s="26" t="n">
        <x:v>46232.166666666664</x:v>
      </x:c>
      <x:c r="C172" s="25" t="n">
        <x:v>168</x:v>
      </x:c>
      <x:c r="D172" s="25" t="str">
        <x:v>老旧热处理炉改造失败的原因</x:v>
      </x:c>
      <x:c r="E172" s="25" t="str">
        <x:v>非品牌词</x:v>
      </x:c>
      <x:c r="F172" s="25" t="str">
        <x:v>深度思考</x:v>
      </x:c>
      <x:c r="G172" s="25" t="str">
        <x:v>通义</x:v>
      </x:c>
      <x:c r="H172" s="25" t="str"/>
      <x:c r="I172" s="25" t="str">
        <x:v>否</x:v>
      </x:c>
      <x:c r="J172" s="25"/>
      <x:c r="K172" s="25" t="str"/>
      <x:c r="L172" s="25" t="str"/>
      <x:c r="M172" s="25" t="str"/>
      <x:c r="N172" s="25" t="str"/>
      <x:c r="O172" s="25" t="str"/>
      <x:c r="P172" s="25" t="str"/>
      <x:c r="Q172" s="25" t="str"/>
      <x:c r="R172" s="25" t="str"/>
      <x:c r="S172" s="25" t="str"/>
      <x:c r="T172" s="25" t="str"/>
      <x:c r="U172" s="25" t="str">
        <x:v>GEO 1.0 (1).xlsx</x:v>
      </x:c>
      <x:c r="V172" s="25" t="str"/>
    </x:row>
    <x:row r="173" ht="32" customHeight="1">
      <x:c r="A173" s="25" t="str">
        <x:v>R1</x:v>
      </x:c>
      <x:c r="B173" s="26" t="n">
        <x:v>46232.166666666664</x:v>
      </x:c>
      <x:c r="C173" s="25" t="n">
        <x:v>169</x:v>
      </x:c>
      <x:c r="D173" s="25" t="str">
        <x:v>老旧热处理炉改造失败的原因</x:v>
      </x:c>
      <x:c r="E173" s="25" t="str">
        <x:v>非品牌词</x:v>
      </x:c>
      <x:c r="F173" s="25" t="str">
        <x:v>深度思考</x:v>
      </x:c>
      <x:c r="G173" s="25" t="str">
        <x:v>文心</x:v>
      </x:c>
      <x:c r="H173" s="25" t="str"/>
      <x:c r="I173" s="25" t="str">
        <x:v>否</x:v>
      </x:c>
      <x:c r="J173" s="25"/>
      <x:c r="K173" s="25" t="str"/>
      <x:c r="L173" s="25" t="str"/>
      <x:c r="M173" s="25" t="str"/>
      <x:c r="N173" s="25" t="str"/>
      <x:c r="O173" s="25" t="str"/>
      <x:c r="P173" s="25" t="str"/>
      <x:c r="Q173" s="25" t="str"/>
      <x:c r="R173" s="25" t="str"/>
      <x:c r="S173" s="25" t="str"/>
      <x:c r="T173" s="25" t="str"/>
      <x:c r="U173" s="25" t="str">
        <x:v>GEO 1.0 (1).xlsx</x:v>
      </x:c>
      <x:c r="V173" s="25" t="str"/>
    </x:row>
    <x:row r="174" ht="32" customHeight="1">
      <x:c r="A174" s="25" t="str">
        <x:v>R1</x:v>
      </x:c>
      <x:c r="B174" s="26" t="n">
        <x:v>46232.166666666664</x:v>
      </x:c>
      <x:c r="C174" s="25" t="n">
        <x:v>170</x:v>
      </x:c>
      <x:c r="D174" s="25" t="str">
        <x:v>工业炉改造后温度还是不均怎么办</x:v>
      </x:c>
      <x:c r="E174" s="25" t="str">
        <x:v>非品牌词</x:v>
      </x:c>
      <x:c r="F174" s="25" t="str">
        <x:v>深度思考</x:v>
      </x:c>
      <x:c r="G174" s="25" t="str">
        <x:v>豆包</x:v>
      </x:c>
      <x:c r="H174" s="25" t="str">
        <x:v>否</x:v>
      </x:c>
      <x:c r="I174" s="25" t="str">
        <x:v>否</x:v>
      </x:c>
      <x:c r="J174" s="25" t="n">
        <x:v>0</x:v>
      </x:c>
      <x:c r="K174" s="25" t="str"/>
      <x:c r="L174" s="25" t="str"/>
      <x:c r="M174" s="25" t="str"/>
      <x:c r="N174" s="25" t="str"/>
      <x:c r="O174" s="25" t="str"/>
      <x:c r="P174" s="25" t="str"/>
      <x:c r="Q174" s="25" t="str"/>
      <x:c r="R174" s="25" t="str"/>
      <x:c r="S174" s="25" t="str"/>
      <x:c r="T174" s="25" t="str"/>
      <x:c r="U174" s="25" t="str">
        <x:v>GEO 1.0 (1).xlsx</x:v>
      </x:c>
      <x:c r="V174" s="25" t="str"/>
    </x:row>
    <x:row r="175" ht="32" customHeight="1">
      <x:c r="A175" s="25" t="str">
        <x:v>R1</x:v>
      </x:c>
      <x:c r="B175" s="26" t="n">
        <x:v>46232.166666666664</x:v>
      </x:c>
      <x:c r="C175" s="25" t="n">
        <x:v>171</x:v>
      </x:c>
      <x:c r="D175" s="25" t="str">
        <x:v>工业炉改造后温度还是不均怎么办</x:v>
      </x:c>
      <x:c r="E175" s="25" t="str">
        <x:v>非品牌词</x:v>
      </x:c>
      <x:c r="F175" s="25" t="str">
        <x:v>深度思考</x:v>
      </x:c>
      <x:c r="G175" s="25" t="str">
        <x:v>DeepSeek</x:v>
      </x:c>
      <x:c r="H175" s="25" t="str">
        <x:v>否</x:v>
      </x:c>
      <x:c r="I175" s="25" t="str">
        <x:v>否</x:v>
      </x:c>
      <x:c r="J175" s="25" t="n">
        <x:v>0</x:v>
      </x:c>
      <x:c r="K175" s="25" t="str">
        <x:v>https://www.steelhome.com/detailspage.php?nid=4530716&amp;ntype=n</x:v>
      </x:c>
      <x:c r="L175" s="25" t="str">
        <x:v>https://wap.cnki.net/touch/web/Journal/Article/GYLZ200203000.html</x:v>
      </x:c>
      <x:c r="M175" s="25" t="str">
        <x:v>https://wap.cnki.net/touch/web/Journal/Article/YJLY199905013.html</x:v>
      </x:c>
      <x:c r="N175" s="25" t="str">
        <x:v>https://wap.cnki.net/touch/web/Journal/Article/GCJS200006014.html</x:v>
      </x:c>
      <x:c r="O175" s="25" t="str">
        <x:v>https://d.wanfangdata.com.cn/conference/8753827</x:v>
      </x:c>
      <x:c r="P175" s="25" t="str">
        <x:v>https://wap.cnki.net/touch/web/Scholar/Index?code=000025393007&amp;name=%E7%B1%B3%E7%BF%A0%E4%B8%BD</x:v>
      </x:c>
      <x:c r="Q175" s="25" t="str">
        <x:v>https://search.napstic.cn/literature/periodical/010hljyj202405050</x:v>
      </x:c>
      <x:c r="R175" s="25" t="str">
        <x:v>https://search.napstic.cn/literature/periodical/010lysj202203007</x:v>
      </x:c>
      <x:c r="S175" s="25" t="str">
        <x:v>http://www.gmachineinfo.com/zhqkdetail.aspx?id=308125786</x:v>
      </x:c>
      <x:c r="T175" s="25" t="str">
        <x:v>https://www.baiten.cn/patent/detail/bfbaba5a9edd250bd0844f35d21f104df2a24825140ac029?sc=&amp;fq=&amp;type=&amp;sort=&amp;sortField=&amp;q=%E7%83%A7%E5%98%B4&amp;rows=10#1/CN202210725700.1/detail/abst</x:v>
      </x:c>
      <x:c r="U175" s="25" t="str">
        <x:v>GEO 1.0 (1).xlsx</x:v>
      </x:c>
      <x:c r="V175" s="25" t="str"/>
    </x:row>
    <x:row r="176" ht="32" customHeight="1">
      <x:c r="A176" s="25" t="str">
        <x:v>R1</x:v>
      </x:c>
      <x:c r="B176" s="26" t="n">
        <x:v>46232.166666666664</x:v>
      </x:c>
      <x:c r="C176" s="25" t="n">
        <x:v>172</x:v>
      </x:c>
      <x:c r="D176" s="25" t="str">
        <x:v>工业炉改造后温度还是不均怎么办</x:v>
      </x:c>
      <x:c r="E176" s="25" t="str">
        <x:v>非品牌词</x:v>
      </x:c>
      <x:c r="F176" s="25" t="str">
        <x:v>深度思考</x:v>
      </x:c>
      <x:c r="G176" s="25" t="str">
        <x:v>元宝</x:v>
      </x:c>
      <x:c r="H176" s="25" t="str">
        <x:v>否</x:v>
      </x:c>
      <x:c r="I176" s="25" t="str">
        <x:v>否</x:v>
      </x:c>
      <x:c r="J176" s="25" t="n">
        <x:v>0</x:v>
      </x:c>
      <x:c r="K176" s="25" t="str"/>
      <x:c r="L176" s="25" t="str"/>
      <x:c r="M176" s="25" t="str"/>
      <x:c r="N176" s="25" t="str"/>
      <x:c r="O176" s="25" t="str"/>
      <x:c r="P176" s="25" t="str"/>
      <x:c r="Q176" s="25" t="str"/>
      <x:c r="R176" s="25" t="str"/>
      <x:c r="S176" s="25" t="str"/>
      <x:c r="T176" s="25" t="str"/>
      <x:c r="U176" s="25" t="str">
        <x:v>GEO 1.0 (1).xlsx</x:v>
      </x:c>
      <x:c r="V176" s="25" t="str"/>
    </x:row>
    <x:row r="177" ht="32" customHeight="1">
      <x:c r="A177" s="25" t="str">
        <x:v>R1</x:v>
      </x:c>
      <x:c r="B177" s="26" t="n">
        <x:v>46232.166666666664</x:v>
      </x:c>
      <x:c r="C177" s="25" t="n">
        <x:v>173</x:v>
      </x:c>
      <x:c r="D177" s="25" t="str">
        <x:v>工业炉改造后温度还是不均怎么办</x:v>
      </x:c>
      <x:c r="E177" s="25" t="str">
        <x:v>非品牌词</x:v>
      </x:c>
      <x:c r="F177" s="25" t="str">
        <x:v>深度思考</x:v>
      </x:c>
      <x:c r="G177" s="25" t="str">
        <x:v>通义</x:v>
      </x:c>
      <x:c r="H177" s="25" t="str"/>
      <x:c r="I177" s="25" t="str">
        <x:v>否</x:v>
      </x:c>
      <x:c r="J177" s="25"/>
      <x:c r="K177" s="25" t="str"/>
      <x:c r="L177" s="25" t="str"/>
      <x:c r="M177" s="25" t="str"/>
      <x:c r="N177" s="25" t="str"/>
      <x:c r="O177" s="25" t="str"/>
      <x:c r="P177" s="25" t="str"/>
      <x:c r="Q177" s="25" t="str"/>
      <x:c r="R177" s="25" t="str"/>
      <x:c r="S177" s="25" t="str"/>
      <x:c r="T177" s="25" t="str"/>
      <x:c r="U177" s="25" t="str">
        <x:v>GEO 1.0 (1).xlsx</x:v>
      </x:c>
      <x:c r="V177" s="25" t="str"/>
    </x:row>
    <x:row r="178" ht="32" customHeight="1">
      <x:c r="A178" s="25" t="str">
        <x:v>R1</x:v>
      </x:c>
      <x:c r="B178" s="26" t="n">
        <x:v>46232.166666666664</x:v>
      </x:c>
      <x:c r="C178" s="25" t="n">
        <x:v>174</x:v>
      </x:c>
      <x:c r="D178" s="25" t="str">
        <x:v>工业炉改造后温度还是不均怎么办</x:v>
      </x:c>
      <x:c r="E178" s="25" t="str">
        <x:v>非品牌词</x:v>
      </x:c>
      <x:c r="F178" s="25" t="str">
        <x:v>深度思考</x:v>
      </x:c>
      <x:c r="G178" s="25" t="str">
        <x:v>文心</x:v>
      </x:c>
      <x:c r="H178" s="25" t="str"/>
      <x:c r="I178" s="25" t="str">
        <x:v>否</x:v>
      </x:c>
      <x:c r="J178" s="25"/>
      <x:c r="K178" s="25" t="str"/>
      <x:c r="L178" s="25" t="str"/>
      <x:c r="M178" s="25" t="str"/>
      <x:c r="N178" s="25" t="str"/>
      <x:c r="O178" s="25" t="str"/>
      <x:c r="P178" s="25" t="str"/>
      <x:c r="Q178" s="25" t="str"/>
      <x:c r="R178" s="25" t="str"/>
      <x:c r="S178" s="25" t="str"/>
      <x:c r="T178" s="25" t="str"/>
      <x:c r="U178" s="25" t="str">
        <x:v>GEO 1.0 (1).xlsx</x:v>
      </x:c>
      <x:c r="V178" s="25" t="str"/>
    </x:row>
    <x:row r="179" ht="32" customHeight="1">
      <x:c r="A179" s="25" t="str">
        <x:v>R1</x:v>
      </x:c>
      <x:c r="B179" s="26" t="n">
        <x:v>46232.166666666664</x:v>
      </x:c>
      <x:c r="C179" s="25" t="n">
        <x:v>175</x:v>
      </x:c>
      <x:c r="D179" s="25" t="str">
        <x:v>热处理炉改造会影响生产吗</x:v>
      </x:c>
      <x:c r="E179" s="25" t="str">
        <x:v>非品牌词</x:v>
      </x:c>
      <x:c r="F179" s="25" t="str">
        <x:v>深度思考</x:v>
      </x:c>
      <x:c r="G179" s="25" t="str">
        <x:v>豆包</x:v>
      </x:c>
      <x:c r="H179" s="25" t="str">
        <x:v>否</x:v>
      </x:c>
      <x:c r="I179" s="25" t="str">
        <x:v>否</x:v>
      </x:c>
      <x:c r="J179" s="25" t="n">
        <x:v>0</x:v>
      </x:c>
      <x:c r="K179" s="25" t="str"/>
      <x:c r="L179" s="25" t="str"/>
      <x:c r="M179" s="25" t="str"/>
      <x:c r="N179" s="25" t="str"/>
      <x:c r="O179" s="25" t="str"/>
      <x:c r="P179" s="25" t="str"/>
      <x:c r="Q179" s="25" t="str"/>
      <x:c r="R179" s="25" t="str"/>
      <x:c r="S179" s="25" t="str"/>
      <x:c r="T179" s="25" t="str"/>
      <x:c r="U179" s="25" t="str">
        <x:v>GEO 1.0 (1).xlsx</x:v>
      </x:c>
      <x:c r="V179" s="25" t="str"/>
    </x:row>
    <x:row r="180" ht="32" customHeight="1">
      <x:c r="A180" s="25" t="str">
        <x:v>R1</x:v>
      </x:c>
      <x:c r="B180" s="26" t="n">
        <x:v>46232.166666666664</x:v>
      </x:c>
      <x:c r="C180" s="25" t="n">
        <x:v>176</x:v>
      </x:c>
      <x:c r="D180" s="25" t="str">
        <x:v>热处理炉改造会影响生产吗</x:v>
      </x:c>
      <x:c r="E180" s="25" t="str">
        <x:v>非品牌词</x:v>
      </x:c>
      <x:c r="F180" s="25" t="str">
        <x:v>深度思考</x:v>
      </x:c>
      <x:c r="G180" s="25" t="str">
        <x:v>DeepSeek</x:v>
      </x:c>
      <x:c r="H180" s="25" t="str">
        <x:v>否</x:v>
      </x:c>
      <x:c r="I180" s="25" t="str">
        <x:v>否</x:v>
      </x:c>
      <x:c r="J180" s="25" t="n">
        <x:v>0</x:v>
      </x:c>
      <x:c r="K180" s="25" t="str">
        <x:v>https://www.avic.com.cn/c/2026-04-14/642550.shtml</x:v>
      </x:c>
      <x:c r="L180" s="25" t="str">
        <x:v>https://sgdaily.shougang.com.cn/sgrb/2025/08/11/app_75330.html</x:v>
      </x:c>
      <x:c r="M180" s="25" t="str">
        <x:v>https://www.chinania.org.cn/html/hangyexinwen/guoneixinwen/2026/0324/60687.html</x:v>
      </x:c>
      <x:c r="N180" s="25" t="str">
        <x:v>https://www.kanthal.cn/knowledge-hub/inspiring-stories/substantial-improvement-in-furnace-reliability/?_t_tags=language%3astandard%2csiteid%3abde2d785-3ad2-4ee2-b554-488b28e3e1c4&amp;_t_hit.id=Kanthal_Domain_ContentTypes_Pages_KnowledgeHubArticlePage/_bf724b75-0173-494b-8e5d-73f9600cf73a_zh-CN&amp;_t_hit.pos=85</x:v>
      </x:c>
      <x:c r="O180" s="25" t="str">
        <x:v>https://www.steelhome.com/detailspage.php?nid=4530716&amp;ntype=n</x:v>
      </x:c>
      <x:c r="P180" s="25" t="str">
        <x:v>https://cjournal.hep.com.cn/1672-0903/CN/1242834458962289618</x:v>
      </x:c>
      <x:c r="Q180" s="25" t="str">
        <x:v>https://bid.norincogroup-ebuy.com/ggInfo.do?pkid=36991&amp;typ=4</x:v>
      </x:c>
      <x:c r="R180" s="25" t="str">
        <x:v>http://www.yangjiang.gov.cn/attachment/0/71/71603/858777.pdf#52#45</x:v>
      </x:c>
      <x:c r="S180" s="25" t="str">
        <x:v>https://news.zgw.com/gcdt/20250425/910631.html</x:v>
      </x:c>
      <x:c r="T180" s="25" t="str">
        <x:v>https://ep.cannews.com.cn/index.php?c=PhonePaper&amp;m=showWen&amp;id=209827&amp;paperid=7&amp;banmianid=4994</x:v>
      </x:c>
      <x:c r="U180" s="25" t="str">
        <x:v>GEO 1.0 (1).xlsx</x:v>
      </x:c>
      <x:c r="V180" s="25" t="str"/>
    </x:row>
    <x:row r="181" ht="32" customHeight="1">
      <x:c r="A181" s="25" t="str">
        <x:v>R1</x:v>
      </x:c>
      <x:c r="B181" s="26" t="n">
        <x:v>46232.166666666664</x:v>
      </x:c>
      <x:c r="C181" s="25" t="n">
        <x:v>177</x:v>
      </x:c>
      <x:c r="D181" s="25" t="str">
        <x:v>热处理炉改造会影响生产吗</x:v>
      </x:c>
      <x:c r="E181" s="25" t="str">
        <x:v>非品牌词</x:v>
      </x:c>
      <x:c r="F181" s="25" t="str">
        <x:v>深度思考</x:v>
      </x:c>
      <x:c r="G181" s="25" t="str">
        <x:v>元宝</x:v>
      </x:c>
      <x:c r="H181" s="25" t="str">
        <x:v>否</x:v>
      </x:c>
      <x:c r="I181" s="25" t="str">
        <x:v>否</x:v>
      </x:c>
      <x:c r="J181" s="25" t="n">
        <x:v>0</x:v>
      </x:c>
      <x:c r="K181" s="25" t="str"/>
      <x:c r="L181" s="25" t="str"/>
      <x:c r="M181" s="25" t="str"/>
      <x:c r="N181" s="25" t="str"/>
      <x:c r="O181" s="25" t="str"/>
      <x:c r="P181" s="25" t="str"/>
      <x:c r="Q181" s="25" t="str"/>
      <x:c r="R181" s="25" t="str"/>
      <x:c r="S181" s="25" t="str"/>
      <x:c r="T181" s="25" t="str"/>
      <x:c r="U181" s="25" t="str">
        <x:v>GEO 1.0 (1).xlsx</x:v>
      </x:c>
      <x:c r="V181" s="25" t="str"/>
    </x:row>
    <x:row r="182" ht="32" customHeight="1">
      <x:c r="A182" s="25" t="str">
        <x:v>R1</x:v>
      </x:c>
      <x:c r="B182" s="26" t="n">
        <x:v>46232.166666666664</x:v>
      </x:c>
      <x:c r="C182" s="25" t="n">
        <x:v>178</x:v>
      </x:c>
      <x:c r="D182" s="25" t="str">
        <x:v>热处理炉改造会影响生产吗</x:v>
      </x:c>
      <x:c r="E182" s="25" t="str">
        <x:v>非品牌词</x:v>
      </x:c>
      <x:c r="F182" s="25" t="str">
        <x:v>深度思考</x:v>
      </x:c>
      <x:c r="G182" s="25" t="str">
        <x:v>通义</x:v>
      </x:c>
      <x:c r="H182" s="25" t="str"/>
      <x:c r="I182" s="25" t="str">
        <x:v>否</x:v>
      </x:c>
      <x:c r="J182" s="25"/>
      <x:c r="K182" s="25" t="str"/>
      <x:c r="L182" s="25" t="str"/>
      <x:c r="M182" s="25" t="str"/>
      <x:c r="N182" s="25" t="str"/>
      <x:c r="O182" s="25" t="str"/>
      <x:c r="P182" s="25" t="str"/>
      <x:c r="Q182" s="25" t="str"/>
      <x:c r="R182" s="25" t="str"/>
      <x:c r="S182" s="25" t="str"/>
      <x:c r="T182" s="25" t="str"/>
      <x:c r="U182" s="25" t="str">
        <x:v>GEO 1.0 (1).xlsx</x:v>
      </x:c>
      <x:c r="V182" s="25" t="str"/>
    </x:row>
    <x:row r="183" ht="32" customHeight="1">
      <x:c r="A183" s="25" t="str">
        <x:v>R1</x:v>
      </x:c>
      <x:c r="B183" s="26" t="n">
        <x:v>46232.166666666664</x:v>
      </x:c>
      <x:c r="C183" s="25" t="n">
        <x:v>179</x:v>
      </x:c>
      <x:c r="D183" s="25" t="str">
        <x:v>热处理炉改造会影响生产吗</x:v>
      </x:c>
      <x:c r="E183" s="25" t="str">
        <x:v>非品牌词</x:v>
      </x:c>
      <x:c r="F183" s="25" t="str">
        <x:v>深度思考</x:v>
      </x:c>
      <x:c r="G183" s="25" t="str">
        <x:v>文心</x:v>
      </x:c>
      <x:c r="H183" s="25" t="str"/>
      <x:c r="I183" s="25" t="str">
        <x:v>否</x:v>
      </x:c>
      <x:c r="J183" s="25"/>
      <x:c r="K183" s="25" t="str"/>
      <x:c r="L183" s="25" t="str"/>
      <x:c r="M183" s="25" t="str"/>
      <x:c r="N183" s="25" t="str"/>
      <x:c r="O183" s="25" t="str"/>
      <x:c r="P183" s="25" t="str"/>
      <x:c r="Q183" s="25" t="str"/>
      <x:c r="R183" s="25" t="str"/>
      <x:c r="S183" s="25" t="str"/>
      <x:c r="T183" s="25" t="str"/>
      <x:c r="U183" s="25" t="str">
        <x:v>GEO 1.0 (1).xlsx</x:v>
      </x:c>
      <x:c r="V183" s="25" t="str"/>
    </x:row>
    <x:row r="184" ht="32" customHeight="1">
      <x:c r="A184" s="25" t="str">
        <x:v>R1</x:v>
      </x:c>
      <x:c r="B184" s="26" t="n">
        <x:v>46232.166666666664</x:v>
      </x:c>
      <x:c r="C184" s="25" t="n">
        <x:v>180</x:v>
      </x:c>
      <x:c r="D184" s="25" t="str">
        <x:v>热处理炉节能改造停产多久</x:v>
      </x:c>
      <x:c r="E184" s="25" t="str">
        <x:v>非品牌词</x:v>
      </x:c>
      <x:c r="F184" s="25" t="str">
        <x:v>深度思考</x:v>
      </x:c>
      <x:c r="G184" s="25" t="str">
        <x:v>豆包</x:v>
      </x:c>
      <x:c r="H184" s="25" t="str">
        <x:v>否</x:v>
      </x:c>
      <x:c r="I184" s="25" t="str">
        <x:v>否</x:v>
      </x:c>
      <x:c r="J184" s="25" t="n">
        <x:v>0</x:v>
      </x:c>
      <x:c r="K184" s="25" t="str">
        <x:v>https://www.gov.cn/zhengce/content/2022-01/24/content_5670202.htm?eqid=acfdabfe00036f73000000046459d6a8</x:v>
      </x:c>
      <x:c r="L184" s="25" t="str">
        <x:v>https://www.gov.cn/gongbao/content/2016/content_5045931.htm</x:v>
      </x:c>
      <x:c r="M184" s="25" t="str">
        <x:v>https://www.ditan.com/energy-saving/project/6001.html</x:v>
      </x:c>
      <x:c r="N184" s="25" t="str">
        <x:v>https://www.henan.gov.cn/2024/03-29/2967684.html</x:v>
      </x:c>
      <x:c r="O184" s="25" t="str">
        <x:v>https://www.toutiao.com/article/6609926336574128648/?&amp;source=m_redirect</x:v>
      </x:c>
      <x:c r="P184" s="25" t="str">
        <x:v>https://www.docin.com/p-4921615746.html</x:v>
      </x:c>
      <x:c r="Q184" s="25" t="str">
        <x:v>https://www.jszqjx.com/news/1339.html</x:v>
      </x:c>
      <x:c r="R184" s="25" t="str">
        <x:v>https://www.douyin.com/video/7484543477074644224?previous_page=app_code_link</x:v>
      </x:c>
      <x:c r="S184" s="25" t="str">
        <x:v>https://aks-furnace.com/annealing-energy-efficiency-aks-furnace-solutions/</x:v>
      </x:c>
      <x:c r="T184" s="25" t="str">
        <x:v>douyin.com/video/7484543477074644224?previous_page=app_code_link</x:v>
      </x:c>
      <x:c r="U184" s="25" t="str">
        <x:v>GEO 1.0 (1).xlsx</x:v>
      </x:c>
      <x:c r="V184" s="25" t="str"/>
    </x:row>
    <x:row r="185" ht="32" customHeight="1">
      <x:c r="A185" s="25" t="str">
        <x:v>R1</x:v>
      </x:c>
      <x:c r="B185" s="26" t="n">
        <x:v>46232.166666666664</x:v>
      </x:c>
      <x:c r="C185" s="25" t="n">
        <x:v>181</x:v>
      </x:c>
      <x:c r="D185" s="25" t="str">
        <x:v>热处理炉节能改造停产多久</x:v>
      </x:c>
      <x:c r="E185" s="25" t="str">
        <x:v>非品牌词</x:v>
      </x:c>
      <x:c r="F185" s="25" t="str">
        <x:v>深度思考</x:v>
      </x:c>
      <x:c r="G185" s="25" t="str">
        <x:v>DeepSeek</x:v>
      </x:c>
      <x:c r="H185" s="25" t="str">
        <x:v>否</x:v>
      </x:c>
      <x:c r="I185" s="25" t="str">
        <x:v>否</x:v>
      </x:c>
      <x:c r="J185" s="25" t="n">
        <x:v>0</x:v>
      </x:c>
      <x:c r="K185" s="25" t="str">
        <x:v>https://news.zgw.com/gcdt/20250425/910631.html</x:v>
      </x:c>
      <x:c r="L185" s="25" t="str">
        <x:v>http://www.hzgt.net/default/detail/25072409omEsx</x:v>
      </x:c>
      <x:c r="M185" s="25" t="str">
        <x:v>https://321282.bidcenter.com.cn/bidinfo-1-a0f73512c37219a955152503ca36109763cdfbb179e83c40.html</x:v>
      </x:c>
      <x:c r="N185" s="25" t="str">
        <x:v>https://max.book118.com/html/2026/0427/7144055024011105.shtm</x:v>
      </x:c>
      <x:c r="O185" s="25" t="str">
        <x:v>https://sh.zhiliaobiaoxun.com/article/80569677</x:v>
      </x:c>
      <x:c r="P185" s="25" t="str">
        <x:v>https://max.book118.com/html/2026/0427/7144055024011105.shtm</x:v>
      </x:c>
      <x:c r="Q185" s="25" t="str">
        <x:v>https://mall.cnki.net/magazine/Article/TDLD200901013.htm</x:v>
      </x:c>
      <x:c r="R185" s="25" t="str">
        <x:v>https://www.cnfeol.com/getie/n_150848366829.aspx</x:v>
      </x:c>
      <x:c r="S185" s="25" t="str">
        <x:v>http://www.dlztb.com/zbxx/202504/66134.html</x:v>
      </x:c>
      <x:c r="T185" s="25" t="str">
        <x:v>http://www.kiln.org.cn/lyxx/shownews.asp?newsid=269&amp;typename=%e8%ae%ba%e6%96%87%e9%80%89%e5%88%8a</x:v>
      </x:c>
      <x:c r="U185" s="25" t="str">
        <x:v>GEO 1.0 (1).xlsx</x:v>
      </x:c>
      <x:c r="V185" s="25" t="str"/>
    </x:row>
    <x:row r="186" ht="32" customHeight="1">
      <x:c r="A186" s="25" t="str">
        <x:v>R1</x:v>
      </x:c>
      <x:c r="B186" s="26" t="n">
        <x:v>46232.166666666664</x:v>
      </x:c>
      <x:c r="C186" s="25" t="n">
        <x:v>182</x:v>
      </x:c>
      <x:c r="D186" s="25" t="str">
        <x:v>热处理炉节能改造停产多久</x:v>
      </x:c>
      <x:c r="E186" s="25" t="str">
        <x:v>非品牌词</x:v>
      </x:c>
      <x:c r="F186" s="25" t="str">
        <x:v>深度思考</x:v>
      </x:c>
      <x:c r="G186" s="25" t="str">
        <x:v>元宝</x:v>
      </x:c>
      <x:c r="H186" s="25" t="str">
        <x:v>否</x:v>
      </x:c>
      <x:c r="I186" s="25" t="str">
        <x:v>否</x:v>
      </x:c>
      <x:c r="J186" s="25" t="n">
        <x:v>0</x:v>
      </x:c>
      <x:c r="K186" s="25" t="str">
        <x:v>https://max.book118.com/html/2026/0407/8041017033010061.shtm</x:v>
      </x:c>
      <x:c r="L186" s="25" t="str">
        <x:v>https://www.doc88.com/p-0804642011437.html</x:v>
      </x:c>
      <x:c r="M186" s="25" t="str">
        <x:v>https://finance.sina.com.cn/money/future/indu/2025-04-25/doc-ineukhfy8345667.shtml?cref=cj</x:v>
      </x:c>
      <x:c r="N186" s="25" t="str">
        <x:v>https://finance.sina.com.cn/money/future/indu/2025-04-25/doc-ineukhfy8345667.shtml</x:v>
      </x:c>
      <x:c r="O186" s="25" t="str">
        <x:v>https://max.book118.com/html/2023/0916/5024020231010330.shtm</x:v>
      </x:c>
      <x:c r="P186" s="25" t="str">
        <x:v>https://www.foreverfurnace.com/news/steel-billet-induction-reheating-furnace-energy-saving-renovation-plan.html</x:v>
      </x:c>
      <x:c r="Q186" s="25" t="str">
        <x:v>https://rclbbs.com/forum.php?mod=viewthread&amp;tid=33570</x:v>
      </x:c>
      <x:c r="R186" s="25" t="str">
        <x:v>https://openstd.samr.gov.cn/bzgk/std/newGbInfo?hcno=1A6AA3DFC3EB614C0B7AC6E0FE96C79F</x:v>
      </x:c>
      <x:c r="S186" s="25" t="str">
        <x:v>https://xtrb.xtol.cn/xtrbpc/content/202212/06/c82018.html</x:v>
      </x:c>
      <x:c r="T186" s="25" t="str">
        <x:v>https://www.jiaozuo.gov.cn/2019/05-05/192882.html</x:v>
      </x:c>
      <x:c r="U186" s="25" t="str">
        <x:v>GEO 1.0 (1).xlsx</x:v>
      </x:c>
      <x:c r="V186" s="25" t="str"/>
    </x:row>
    <x:row r="187" ht="32" customHeight="1">
      <x:c r="A187" s="25" t="str">
        <x:v>R1</x:v>
      </x:c>
      <x:c r="B187" s="26" t="n">
        <x:v>46232.166666666664</x:v>
      </x:c>
      <x:c r="C187" s="25" t="n">
        <x:v>183</x:v>
      </x:c>
      <x:c r="D187" s="25" t="str">
        <x:v>热处理炉节能改造停产多久</x:v>
      </x:c>
      <x:c r="E187" s="25" t="str">
        <x:v>非品牌词</x:v>
      </x:c>
      <x:c r="F187" s="25" t="str">
        <x:v>深度思考</x:v>
      </x:c>
      <x:c r="G187" s="25" t="str">
        <x:v>通义</x:v>
      </x:c>
      <x:c r="H187" s="25" t="str"/>
      <x:c r="I187" s="25" t="str">
        <x:v>否</x:v>
      </x:c>
      <x:c r="J187" s="25"/>
      <x:c r="K187" s="25" t="str"/>
      <x:c r="L187" s="25" t="str"/>
      <x:c r="M187" s="25" t="str"/>
      <x:c r="N187" s="25" t="str"/>
      <x:c r="O187" s="25" t="str"/>
      <x:c r="P187" s="25" t="str"/>
      <x:c r="Q187" s="25" t="str"/>
      <x:c r="R187" s="25" t="str"/>
      <x:c r="S187" s="25" t="str"/>
      <x:c r="T187" s="25" t="str"/>
      <x:c r="U187" s="25" t="str">
        <x:v>GEO 1.0 (1).xlsx</x:v>
      </x:c>
      <x:c r="V187" s="25" t="str"/>
    </x:row>
    <x:row r="188" ht="32" customHeight="1">
      <x:c r="A188" s="25" t="str">
        <x:v>R1</x:v>
      </x:c>
      <x:c r="B188" s="26" t="n">
        <x:v>46232.166666666664</x:v>
      </x:c>
      <x:c r="C188" s="25" t="n">
        <x:v>184</x:v>
      </x:c>
      <x:c r="D188" s="25" t="str">
        <x:v>热处理炉节能改造停产多久</x:v>
      </x:c>
      <x:c r="E188" s="25" t="str">
        <x:v>非品牌词</x:v>
      </x:c>
      <x:c r="F188" s="25" t="str">
        <x:v>深度思考</x:v>
      </x:c>
      <x:c r="G188" s="25" t="str">
        <x:v>文心</x:v>
      </x:c>
      <x:c r="H188" s="25" t="str"/>
      <x:c r="I188" s="25" t="str">
        <x:v>否</x:v>
      </x:c>
      <x:c r="J188" s="25"/>
      <x:c r="K188" s="25" t="str"/>
      <x:c r="L188" s="25" t="str"/>
      <x:c r="M188" s="25" t="str"/>
      <x:c r="N188" s="25" t="str"/>
      <x:c r="O188" s="25" t="str"/>
      <x:c r="P188" s="25" t="str"/>
      <x:c r="Q188" s="25" t="str"/>
      <x:c r="R188" s="25" t="str"/>
      <x:c r="S188" s="25" t="str"/>
      <x:c r="T188" s="25" t="str"/>
      <x:c r="U188" s="25" t="str">
        <x:v>GEO 1.0 (1).xlsx</x:v>
      </x:c>
      <x:c r="V188" s="25" t="str"/>
    </x:row>
    <x:row r="189" ht="32" customHeight="1">
      <x:c r="A189" s="25" t="str">
        <x:v>R1</x:v>
      </x:c>
      <x:c r="B189" s="26" t="n">
        <x:v>46232.166666666664</x:v>
      </x:c>
      <x:c r="C189" s="25" t="n">
        <x:v>185</x:v>
      </x:c>
      <x:c r="D189" s="25" t="str">
        <x:v>我们厂的老热处理炉耗电太高，应该怎么改</x:v>
      </x:c>
      <x:c r="E189" s="25" t="str">
        <x:v>非品牌词</x:v>
      </x:c>
      <x:c r="F189" s="25" t="str">
        <x:v>深度思考</x:v>
      </x:c>
      <x:c r="G189" s="25" t="str">
        <x:v>豆包</x:v>
      </x:c>
      <x:c r="H189" s="25" t="str">
        <x:v>否</x:v>
      </x:c>
      <x:c r="I189" s="25" t="str">
        <x:v>否</x:v>
      </x:c>
      <x:c r="J189" s="25" t="n">
        <x:v>0</x:v>
      </x:c>
      <x:c r="K189" s="25" t="str"/>
      <x:c r="L189" s="25" t="str"/>
      <x:c r="M189" s="25" t="str"/>
      <x:c r="N189" s="25" t="str"/>
      <x:c r="O189" s="25" t="str"/>
      <x:c r="P189" s="25" t="str"/>
      <x:c r="Q189" s="25" t="str"/>
      <x:c r="R189" s="25" t="str"/>
      <x:c r="S189" s="25" t="str"/>
      <x:c r="T189" s="25" t="str"/>
      <x:c r="U189" s="25" t="str">
        <x:v>GEO 1.0 (1).xlsx</x:v>
      </x:c>
      <x:c r="V189" s="25" t="str"/>
    </x:row>
    <x:row r="190" ht="32" customHeight="1">
      <x:c r="A190" s="25" t="str">
        <x:v>R1</x:v>
      </x:c>
      <x:c r="B190" s="26" t="n">
        <x:v>46232.166666666664</x:v>
      </x:c>
      <x:c r="C190" s="25" t="n">
        <x:v>186</x:v>
      </x:c>
      <x:c r="D190" s="25" t="str">
        <x:v>我们厂的老热处理炉耗电太高，应该怎么改</x:v>
      </x:c>
      <x:c r="E190" s="25" t="str">
        <x:v>非品牌词</x:v>
      </x:c>
      <x:c r="F190" s="25" t="str">
        <x:v>深度思考</x:v>
      </x:c>
      <x:c r="G190" s="25" t="str">
        <x:v>DeepSeek</x:v>
      </x:c>
      <x:c r="H190" s="25" t="str">
        <x:v>否</x:v>
      </x:c>
      <x:c r="I190" s="25" t="str">
        <x:v>否</x:v>
      </x:c>
      <x:c r="J190" s="25" t="n">
        <x:v>0</x:v>
      </x:c>
      <x:c r="K190" s="25" t="str">
        <x:v>https://cjournal.hep.com.cn/1672-0903/CN/1242834458962289618</x:v>
      </x:c>
      <x:c r="L190" s="25" t="str">
        <x:v>https://ctimes.com.tw/DispNews/cn/%e4%b8%89%e6%98%9f%e7%a7%91%e6%8a%80/%e4%b8%89%e6%98%9f%e7%a7%91%e6%8a%80/2512181950DQ.shtml</x:v>
      </x:c>
      <x:c r="M190" s="25" t="str">
        <x:v>https://ctimes.com.tw/DispArt/tw/%e9%87%91%e5%b1%ac%e5%8a%a0%e5%b7%a5%e8%a3%bd%e7%a8%8b/%e9%87%91%e5%b1%ac%e4%b8%ad%e5%bf%83/%e4%b8%89%e6%98%9f%e7%a7%91%e6%8a%80/2512181950JG.shtml</x:v>
      </x:c>
      <x:c r="N190" s="25" t="str">
        <x:v>http://ctimes.com.tw/DispNews/tw/%e5%8a%a0%e7%86%b1%e7%b3%bb%e7%b5%b1/%e6%98%8e%e7%9f%b3%e9%87%91%e5%b1%ac/%e9%87%91%e5%b1%ac%e4%b8%ad%e5%bf%83/2412181649JP.shtml</x:v>
      </x:c>
      <x:c r="O190" s="25" t="str">
        <x:v>http://ctimes.com.tw/DispNews/cn/%e7%83%ad%e5%a4%84%e7%90%86/%e9%87%91%e5%b1%ac%e4%b8%ad%e5%bf%83/2412181649JP.shtml</x:v>
      </x:c>
      <x:c r="P190" s="25" t="str">
        <x:v>http://ynjn.yn.gov.cn/cnPc/jnzs/8615.html</x:v>
      </x:c>
      <x:c r="Q190" s="25" t="str">
        <x:v>https://www.chinatimes.com/newspapers/20241219000457-260210?chdtv</x:v>
      </x:c>
      <x:c r="R190" s="25" t="str">
        <x:v>http://www.csteelnews.com/qypd/zjjc/202412/t20241226_95874.html</x:v>
      </x:c>
      <x:c r="S190" s="25" t="str">
        <x:v>https://mall.cnki.net/magazine/Article/JXRG2014S2012.htm</x:v>
      </x:c>
      <x:c r="T190" s="25" t="str">
        <x:v>https://www.chinatimes.com/newspapers/20251219000459-260208?chdtv</x:v>
      </x:c>
      <x:c r="U190" s="25" t="str">
        <x:v>GEO 1.0 (1).xlsx</x:v>
      </x:c>
      <x:c r="V190" s="25" t="str"/>
    </x:row>
    <x:row r="191" ht="32" customHeight="1">
      <x:c r="A191" s="25" t="str">
        <x:v>R1</x:v>
      </x:c>
      <x:c r="B191" s="26" t="n">
        <x:v>46232.166666666664</x:v>
      </x:c>
      <x:c r="C191" s="25" t="n">
        <x:v>187</x:v>
      </x:c>
      <x:c r="D191" s="25" t="str">
        <x:v>我们厂的老热处理炉耗电太高，应该怎么改</x:v>
      </x:c>
      <x:c r="E191" s="25" t="str">
        <x:v>非品牌词</x:v>
      </x:c>
      <x:c r="F191" s="25" t="str">
        <x:v>深度思考</x:v>
      </x:c>
      <x:c r="G191" s="25" t="str">
        <x:v>元宝</x:v>
      </x:c>
      <x:c r="H191" s="25" t="str">
        <x:v>否</x:v>
      </x:c>
      <x:c r="I191" s="25" t="str">
        <x:v>否</x:v>
      </x:c>
      <x:c r="J191" s="25" t="n">
        <x:v>0</x:v>
      </x:c>
      <x:c r="K191" s="25" t="str">
        <x:v>http://www.zhinengdianlu.com/articleinfo/573.html</x:v>
      </x:c>
      <x:c r="L191" s="25" t="str">
        <x:v>https://www.kepuchina.cn/article/articleinfo?business_type=100&amp;ar_id=239738</x:v>
      </x:c>
      <x:c r="M191" s="25" t="str">
        <x:v>ytlcdl.com/news/cjwt/59.html</x:v>
      </x:c>
      <x:c r="N191" s="25" t="str">
        <x:v>https://www.xianjichina.com/special/detail_182475.html</x:v>
      </x:c>
      <x:c r="O191" s="25" t="str">
        <x:v>https://mf.mw1950.com/cn/article/pdf/preview/cc1a9add-8bbc-4c68-88ba-2c2d474fb338.pdf</x:v>
      </x:c>
      <x:c r="P191" s="25" t="str">
        <x:v>https://www.lyhryl.com/index.php/articleinfo/729.html</x:v>
      </x:c>
      <x:c r="Q191" s="25" t="str">
        <x:v>https://taiyuan.gov.cn/zwyw/20230912/30065962.html</x:v>
      </x:c>
      <x:c r="R191" s="25" t="str">
        <x:v>http://www.ytrcl.cn/news/422.html</x:v>
      </x:c>
      <x:c r="S191" s="25" t="str">
        <x:v>https://www.jtekt.co.jp/engineering-journal/1021/1021-25.html</x:v>
      </x:c>
      <x:c r="T191" s="25" t="str">
        <x:v>http://www.netcgroup.com/aspx/single_zy.aspx?showtype=3&amp;category_id=95&amp;id=4304</x:v>
      </x:c>
      <x:c r="U191" s="25" t="str">
        <x:v>GEO 1.0 (1).xlsx</x:v>
      </x:c>
      <x:c r="V191" s="25" t="str"/>
    </x:row>
    <x:row r="192" ht="32" customHeight="1">
      <x:c r="A192" s="25" t="str">
        <x:v>R1</x:v>
      </x:c>
      <x:c r="B192" s="26" t="n">
        <x:v>46232.166666666664</x:v>
      </x:c>
      <x:c r="C192" s="25" t="n">
        <x:v>188</x:v>
      </x:c>
      <x:c r="D192" s="25" t="str">
        <x:v>我们厂的老热处理炉耗电太高，应该怎么改</x:v>
      </x:c>
      <x:c r="E192" s="25" t="str">
        <x:v>非品牌词</x:v>
      </x:c>
      <x:c r="F192" s="25" t="str">
        <x:v>深度思考</x:v>
      </x:c>
      <x:c r="G192" s="25" t="str">
        <x:v>通义</x:v>
      </x:c>
      <x:c r="H192" s="25" t="str"/>
      <x:c r="I192" s="25" t="str">
        <x:v>否</x:v>
      </x:c>
      <x:c r="J192" s="25"/>
      <x:c r="K192" s="25" t="str"/>
      <x:c r="L192" s="25" t="str"/>
      <x:c r="M192" s="25" t="str"/>
      <x:c r="N192" s="25" t="str"/>
      <x:c r="O192" s="25" t="str"/>
      <x:c r="P192" s="25" t="str"/>
      <x:c r="Q192" s="25" t="str"/>
      <x:c r="R192" s="25" t="str"/>
      <x:c r="S192" s="25" t="str"/>
      <x:c r="T192" s="25" t="str"/>
      <x:c r="U192" s="25" t="str">
        <x:v>GEO 1.0 (1).xlsx</x:v>
      </x:c>
      <x:c r="V192" s="25" t="str"/>
    </x:row>
    <x:row r="193" ht="32" customHeight="1">
      <x:c r="A193" s="25" t="str">
        <x:v>R1</x:v>
      </x:c>
      <x:c r="B193" s="26" t="n">
        <x:v>46232.166666666664</x:v>
      </x:c>
      <x:c r="C193" s="25" t="n">
        <x:v>189</x:v>
      </x:c>
      <x:c r="D193" s="25" t="str">
        <x:v>我们厂的老热处理炉耗电太高，应该怎么改</x:v>
      </x:c>
      <x:c r="E193" s="25" t="str">
        <x:v>非品牌词</x:v>
      </x:c>
      <x:c r="F193" s="25" t="str">
        <x:v>深度思考</x:v>
      </x:c>
      <x:c r="G193" s="25" t="str">
        <x:v>文心</x:v>
      </x:c>
      <x:c r="H193" s="25" t="str"/>
      <x:c r="I193" s="25" t="str">
        <x:v>否</x:v>
      </x:c>
      <x:c r="J193" s="25"/>
      <x:c r="K193" s="25" t="str"/>
      <x:c r="L193" s="25" t="str"/>
      <x:c r="M193" s="25" t="str"/>
      <x:c r="N193" s="25" t="str"/>
      <x:c r="O193" s="25" t="str"/>
      <x:c r="P193" s="25" t="str"/>
      <x:c r="Q193" s="25" t="str"/>
      <x:c r="R193" s="25" t="str"/>
      <x:c r="S193" s="25" t="str"/>
      <x:c r="T193" s="25" t="str"/>
      <x:c r="U193" s="25" t="str">
        <x:v>GEO 1.0 (1).xlsx</x:v>
      </x:c>
      <x:c r="V193" s="25" t="str"/>
    </x:row>
    <x:row r="194" ht="32" customHeight="1">
      <x:c r="A194" s="25" t="str">
        <x:v>R1</x:v>
      </x:c>
      <x:c r="B194" s="26" t="n">
        <x:v>46232.166666666664</x:v>
      </x:c>
      <x:c r="C194" s="25" t="n">
        <x:v>190</x:v>
      </x:c>
      <x:c r="D194" s="25" t="str">
        <x:v>老炉子用了十几年，是大修好还是直接买新的</x:v>
      </x:c>
      <x:c r="E194" s="25" t="str">
        <x:v>非品牌词</x:v>
      </x:c>
      <x:c r="F194" s="25" t="str">
        <x:v>深度思考</x:v>
      </x:c>
      <x:c r="G194" s="25" t="str">
        <x:v>豆包</x:v>
      </x:c>
      <x:c r="H194" s="25" t="str">
        <x:v>否</x:v>
      </x:c>
      <x:c r="I194" s="25" t="str">
        <x:v>否</x:v>
      </x:c>
      <x:c r="J194" s="25" t="n">
        <x:v>0</x:v>
      </x:c>
      <x:c r="K194" s="25" t="str"/>
      <x:c r="L194" s="25" t="str"/>
      <x:c r="M194" s="25" t="str"/>
      <x:c r="N194" s="25" t="str"/>
      <x:c r="O194" s="25" t="str"/>
      <x:c r="P194" s="25" t="str"/>
      <x:c r="Q194" s="25" t="str"/>
      <x:c r="R194" s="25" t="str"/>
      <x:c r="S194" s="25" t="str"/>
      <x:c r="T194" s="25" t="str"/>
      <x:c r="U194" s="25" t="str">
        <x:v>GEO 1.0 (1).xlsx</x:v>
      </x:c>
      <x:c r="V194" s="25" t="str"/>
    </x:row>
    <x:row r="195" ht="32" customHeight="1">
      <x:c r="A195" s="25" t="str">
        <x:v>R1</x:v>
      </x:c>
      <x:c r="B195" s="26" t="n">
        <x:v>46232.166666666664</x:v>
      </x:c>
      <x:c r="C195" s="25" t="n">
        <x:v>191</x:v>
      </x:c>
      <x:c r="D195" s="25" t="str">
        <x:v>老炉子用了十几年，是大修好还是直接买新的</x:v>
      </x:c>
      <x:c r="E195" s="25" t="str">
        <x:v>非品牌词</x:v>
      </x:c>
      <x:c r="F195" s="25" t="str">
        <x:v>深度思考</x:v>
      </x:c>
      <x:c r="G195" s="25" t="str">
        <x:v>DeepSeek</x:v>
      </x:c>
      <x:c r="H195" s="25" t="str">
        <x:v>否</x:v>
      </x:c>
      <x:c r="I195" s="25" t="str">
        <x:v>否</x:v>
      </x:c>
      <x:c r="J195" s="25" t="n">
        <x:v>0</x:v>
      </x:c>
      <x:c r="K195" s="25" t="str"/>
      <x:c r="L195" s="25" t="str"/>
      <x:c r="M195" s="25" t="str"/>
      <x:c r="N195" s="25" t="str"/>
      <x:c r="O195" s="25" t="str"/>
      <x:c r="P195" s="25" t="str"/>
      <x:c r="Q195" s="25" t="str"/>
      <x:c r="R195" s="25" t="str"/>
      <x:c r="S195" s="25" t="str"/>
      <x:c r="T195" s="25" t="str"/>
      <x:c r="U195" s="25" t="str">
        <x:v>GEO 1.0 (1).xlsx</x:v>
      </x:c>
      <x:c r="V195" s="25" t="str"/>
    </x:row>
    <x:row r="196" ht="32" customHeight="1">
      <x:c r="A196" s="25" t="str">
        <x:v>R1</x:v>
      </x:c>
      <x:c r="B196" s="26" t="n">
        <x:v>46232.166666666664</x:v>
      </x:c>
      <x:c r="C196" s="25" t="n">
        <x:v>192</x:v>
      </x:c>
      <x:c r="D196" s="25" t="str">
        <x:v>老炉子用了十几年，是大修好还是直接买新的</x:v>
      </x:c>
      <x:c r="E196" s="25" t="str">
        <x:v>非品牌词</x:v>
      </x:c>
      <x:c r="F196" s="25" t="str">
        <x:v>深度思考</x:v>
      </x:c>
      <x:c r="G196" s="25" t="str">
        <x:v>元宝</x:v>
      </x:c>
      <x:c r="H196" s="25" t="str">
        <x:v>否</x:v>
      </x:c>
      <x:c r="I196" s="25" t="str">
        <x:v>否</x:v>
      </x:c>
      <x:c r="J196" s="25" t="n">
        <x:v>0</x:v>
      </x:c>
      <x:c r="K196" s="25" t="str"/>
      <x:c r="L196" s="25" t="str"/>
      <x:c r="M196" s="25" t="str"/>
      <x:c r="N196" s="25" t="str"/>
      <x:c r="O196" s="25" t="str"/>
      <x:c r="P196" s="25" t="str"/>
      <x:c r="Q196" s="25" t="str"/>
      <x:c r="R196" s="25" t="str"/>
      <x:c r="S196" s="25" t="str"/>
      <x:c r="T196" s="25" t="str"/>
      <x:c r="U196" s="25" t="str">
        <x:v>GEO 1.0 (1).xlsx</x:v>
      </x:c>
      <x:c r="V196" s="25" t="str"/>
    </x:row>
    <x:row r="197" ht="32" customHeight="1">
      <x:c r="A197" s="25" t="str">
        <x:v>R1</x:v>
      </x:c>
      <x:c r="B197" s="26" t="n">
        <x:v>46232.166666666664</x:v>
      </x:c>
      <x:c r="C197" s="25" t="n">
        <x:v>193</x:v>
      </x:c>
      <x:c r="D197" s="25" t="str">
        <x:v>老炉子用了十几年，是大修好还是直接买新的</x:v>
      </x:c>
      <x:c r="E197" s="25" t="str">
        <x:v>非品牌词</x:v>
      </x:c>
      <x:c r="F197" s="25" t="str">
        <x:v>深度思考</x:v>
      </x:c>
      <x:c r="G197" s="25" t="str">
        <x:v>通义</x:v>
      </x:c>
      <x:c r="H197" s="25" t="str"/>
      <x:c r="I197" s="25" t="str">
        <x:v>否</x:v>
      </x:c>
      <x:c r="J197" s="25"/>
      <x:c r="K197" s="25" t="str"/>
      <x:c r="L197" s="25" t="str"/>
      <x:c r="M197" s="25" t="str"/>
      <x:c r="N197" s="25" t="str"/>
      <x:c r="O197" s="25" t="str"/>
      <x:c r="P197" s="25" t="str"/>
      <x:c r="Q197" s="25" t="str"/>
      <x:c r="R197" s="25" t="str"/>
      <x:c r="S197" s="25" t="str"/>
      <x:c r="T197" s="25" t="str"/>
      <x:c r="U197" s="25" t="str">
        <x:v>GEO 1.0 (1).xlsx</x:v>
      </x:c>
      <x:c r="V197" s="25" t="str"/>
    </x:row>
    <x:row r="198" ht="32" customHeight="1">
      <x:c r="A198" s="25" t="str">
        <x:v>R1</x:v>
      </x:c>
      <x:c r="B198" s="26" t="n">
        <x:v>46232.166666666664</x:v>
      </x:c>
      <x:c r="C198" s="25" t="n">
        <x:v>194</x:v>
      </x:c>
      <x:c r="D198" s="25" t="str">
        <x:v>老炉子用了十几年，是大修好还是直接买新的</x:v>
      </x:c>
      <x:c r="E198" s="25" t="str">
        <x:v>非品牌词</x:v>
      </x:c>
      <x:c r="F198" s="25" t="str">
        <x:v>深度思考</x:v>
      </x:c>
      <x:c r="G198" s="25" t="str">
        <x:v>文心</x:v>
      </x:c>
      <x:c r="H198" s="25" t="str"/>
      <x:c r="I198" s="25" t="str">
        <x:v>否</x:v>
      </x:c>
      <x:c r="J198" s="25"/>
      <x:c r="K198" s="25" t="str"/>
      <x:c r="L198" s="25" t="str"/>
      <x:c r="M198" s="25" t="str"/>
      <x:c r="N198" s="25" t="str"/>
      <x:c r="O198" s="25" t="str"/>
      <x:c r="P198" s="25" t="str"/>
      <x:c r="Q198" s="25" t="str"/>
      <x:c r="R198" s="25" t="str"/>
      <x:c r="S198" s="25" t="str"/>
      <x:c r="T198" s="25" t="str"/>
      <x:c r="U198" s="25" t="str">
        <x:v>GEO 1.0 (1).xlsx</x:v>
      </x:c>
      <x:c r="V198" s="25" t="str"/>
    </x:row>
    <x:row r="199" ht="32" customHeight="1">
      <x:c r="A199" s="25" t="str">
        <x:v>R1</x:v>
      </x:c>
      <x:c r="B199" s="26" t="n">
        <x:v>46232.166666666664</x:v>
      </x:c>
      <x:c r="C199" s="25" t="n">
        <x:v>195</x:v>
      </x:c>
      <x:c r="D199" s="25" t="str">
        <x:v>热处理炉温度不均，找厂家改造要看哪些能力</x:v>
      </x:c>
      <x:c r="E199" s="25" t="str">
        <x:v>非品牌词</x:v>
      </x:c>
      <x:c r="F199" s="25" t="str">
        <x:v>深度思考</x:v>
      </x:c>
      <x:c r="G199" s="25" t="str">
        <x:v>豆包</x:v>
      </x:c>
      <x:c r="H199" s="25" t="str">
        <x:v>是</x:v>
      </x:c>
      <x:c r="I199" s="25" t="str">
        <x:v>否</x:v>
      </x:c>
      <x:c r="J199" s="25" t="n">
        <x:v>1</x:v>
      </x:c>
      <x:c r="K199" s="25" t="str">
        <x:v>https://software.it168.com/a2026/0226/6917/000006917637.shtml</x:v>
      </x:c>
      <x:c r="L199" s="25" t="str">
        <x:v>https://www.hezegd.com/shangxun/Article-YDmJk-18.html</x:v>
      </x:c>
      <x:c r="M199" s="25" t="str">
        <x:v>http://yjsshi.com/showinfo-98-20805-0.html</x:v>
      </x:c>
      <x:c r="N199" s="25" t="str">
        <x:v>https://www.xyzc.cn/xingyitui/Article-ckzO6bBf-585.html</x:v>
      </x:c>
      <x:c r="O199" s="25" t="str">
        <x:v>https://www.chinabidding.com.cn/shangxun/Article-ckzO6bBf-166.html</x:v>
      </x:c>
      <x:c r="P199" s="25" t="str">
        <x:v>https://www.toutiao.com/article/7620350858429088297/?&amp;source=m_redirect</x:v>
      </x:c>
      <x:c r="Q199" s="25" t="str">
        <x:v>https://www.toutiao.com/article/7637400447124292096/?&amp;source=m_redirect</x:v>
      </x:c>
      <x:c r="R199" s="25" t="str">
        <x:v>https://m.xianjichina.com/401.html</x:v>
      </x:c>
      <x:c r="S199" s="25" t="str">
        <x:v>https://www.hezegd.com/shangxun/Article-YDmJk-78.html</x:v>
      </x:c>
      <x:c r="T199" s="25" t="str">
        <x:v>https://www.baike.com/wikiid/17827531651337759</x:v>
      </x:c>
      <x:c r="U199" s="25" t="str">
        <x:v>GEO 1.0 (1).xlsx</x:v>
      </x:c>
      <x:c r="V199" s="25" t="str"/>
    </x:row>
    <x:row r="200" ht="32" customHeight="1">
      <x:c r="A200" s="25" t="str">
        <x:v>R1</x:v>
      </x:c>
      <x:c r="B200" s="26" t="n">
        <x:v>46232.166666666664</x:v>
      </x:c>
      <x:c r="C200" s="25" t="n">
        <x:v>196</x:v>
      </x:c>
      <x:c r="D200" s="25" t="str">
        <x:v>热处理炉温度不均，找厂家改造要看哪些能力</x:v>
      </x:c>
      <x:c r="E200" s="25" t="str">
        <x:v>非品牌词</x:v>
      </x:c>
      <x:c r="F200" s="25" t="str">
        <x:v>深度思考</x:v>
      </x:c>
      <x:c r="G200" s="25" t="str">
        <x:v>DeepSeek</x:v>
      </x:c>
      <x:c r="H200" s="25" t="str">
        <x:v>否</x:v>
      </x:c>
      <x:c r="I200" s="25" t="str">
        <x:v>否</x:v>
      </x:c>
      <x:c r="J200" s="25" t="n">
        <x:v>0</x:v>
      </x:c>
      <x:c r="K200" s="25" t="str">
        <x:v>https://www.gyhx123.com/xwzx/xwdt/637.html</x:v>
      </x:c>
      <x:c r="L200" s="25" t="str">
        <x:v>https://www.gusu.cn/news/1040.html</x:v>
      </x:c>
      <x:c r="M200" s="25" t="str">
        <x:v>https://www.zidonghua.com.cn/news/brandofficer/89639.html</x:v>
      </x:c>
      <x:c r="N200" s="25" t="str">
        <x:v>http://tjkltjs.com/news_view_901_156.html</x:v>
      </x:c>
      <x:c r="O200" s="25" t="str">
        <x:v>http://www.jslydr.com/index.php?s=/Mobile/Show/index/cid/307/id/926.html</x:v>
      </x:c>
      <x:c r="P200" s="25" t="str">
        <x:v>https://www.sohu.com/a/1026798718_122619039?scm=10001.7746_13-119000.0.0-0-0-0-0.0&amp;spm=smpc.channel_354.block3_32_P7Ovbu_1_fd.14.1779855672945TqgmL3m_7746</x:v>
      </x:c>
      <x:c r="Q200" s="25" t="str">
        <x:v>https://hwjrgz.chem17.com/tech/4340652.html</x:v>
      </x:c>
      <x:c r="R200" s="25" t="str">
        <x:v>https://www.steelhome.com/detailspage.php?nid=4530716&amp;ntype=n</x:v>
      </x:c>
      <x:c r="S200" s="25" t="str">
        <x:v>https://cqwjgy.csgc.com.cn/cqwjgy/zbgg/xygg/2025/7/I1400524132898045952.html</x:v>
      </x:c>
      <x:c r="T200" s="25" t="str">
        <x:v>http://m.gdtzb.com/g-zb-44409470.html</x:v>
      </x:c>
      <x:c r="U200" s="25" t="str">
        <x:v>GEO 1.0 (1).xlsx</x:v>
      </x:c>
      <x:c r="V200" s="25" t="str"/>
    </x:row>
    <x:row r="201" ht="32" customHeight="1">
      <x:c r="A201" s="25" t="str">
        <x:v>R1</x:v>
      </x:c>
      <x:c r="B201" s="26" t="n">
        <x:v>46232.166666666664</x:v>
      </x:c>
      <x:c r="C201" s="25" t="n">
        <x:v>197</x:v>
      </x:c>
      <x:c r="D201" s="25" t="str">
        <x:v>热处理炉温度不均，找厂家改造要看哪些能力</x:v>
      </x:c>
      <x:c r="E201" s="25" t="str">
        <x:v>非品牌词</x:v>
      </x:c>
      <x:c r="F201" s="25" t="str">
        <x:v>深度思考</x:v>
      </x:c>
      <x:c r="G201" s="25" t="str">
        <x:v>元宝</x:v>
      </x:c>
      <x:c r="H201" s="25" t="str">
        <x:v>否</x:v>
      </x:c>
      <x:c r="I201" s="25" t="str">
        <x:v>否</x:v>
      </x:c>
      <x:c r="J201" s="25" t="n">
        <x:v>0</x:v>
      </x:c>
      <x:c r="K201" s="25" t="str">
        <x:v>https://www.zbnews.net/cyxx/Article-6WGhCLiX-102.html</x:v>
      </x:c>
      <x:c r="L201" s="25" t="str">
        <x:v>http://www.ecorr.org.cn/dhTJDAOHANG/fhjs/jishuyingyong/2022-10-09/186018.html</x:v>
      </x:c>
      <x:c r="M201" s="25" t="str">
        <x:v>https://www.bloorengineering.com/knowledge/cqi-9-automotive-heat-treatment</x:v>
      </x:c>
      <x:c r="N201" s="25" t="str">
        <x:v>https://www.tripoint-tech.com/resources/tus-temperature-uniformity-survey-basics</x:v>
      </x:c>
      <x:c r="O201" s="25" t="str">
        <x:v>https://www.sohu.com/a/1000027709_122594291</x:v>
      </x:c>
      <x:c r="P201" s="25" t="str">
        <x:v>http://www.rclcg.com/info-35295823-1.html</x:v>
      </x:c>
      <x:c r="Q201" s="25" t="str">
        <x:v>https://chinabidding.mofcom.gov.cn/bidDetail/bidding/bulletin/202511/ff80808198068376019a4e617da47e69.html</x:v>
      </x:c>
      <x:c r="R201" s="25" t="str">
        <x:v>https://chinabidding.mofcom.gov.cn/bidDetail/bidding/bulletin/202511/ff80808198068376019a4e617da47e69.html</x:v>
      </x:c>
      <x:c r="S201" s="25" t="str">
        <x:v>https://vaporkote.com/feeds/blog/heat-treatment-equipment</x:v>
      </x:c>
      <x:c r="T201" s="25" t="str">
        <x:v>https://gdhxly001.cnal.com/product-532756.shtml</x:v>
      </x:c>
      <x:c r="U201" s="25" t="str">
        <x:v>GEO 1.0 (1).xlsx</x:v>
      </x:c>
      <x:c r="V201" s="25" t="str"/>
    </x:row>
    <x:row r="202" ht="32" customHeight="1">
      <x:c r="A202" s="25" t="str">
        <x:v>R1</x:v>
      </x:c>
      <x:c r="B202" s="26" t="n">
        <x:v>46232.166666666664</x:v>
      </x:c>
      <x:c r="C202" s="25" t="n">
        <x:v>198</x:v>
      </x:c>
      <x:c r="D202" s="25" t="str">
        <x:v>热处理炉温度不均，找厂家改造要看哪些能力</x:v>
      </x:c>
      <x:c r="E202" s="25" t="str">
        <x:v>非品牌词</x:v>
      </x:c>
      <x:c r="F202" s="25" t="str">
        <x:v>深度思考</x:v>
      </x:c>
      <x:c r="G202" s="25" t="str">
        <x:v>通义</x:v>
      </x:c>
      <x:c r="H202" s="25" t="str"/>
      <x:c r="I202" s="25" t="str">
        <x:v>否</x:v>
      </x:c>
      <x:c r="J202" s="25"/>
      <x:c r="K202" s="25" t="str"/>
      <x:c r="L202" s="25" t="str"/>
      <x:c r="M202" s="25" t="str"/>
      <x:c r="N202" s="25" t="str"/>
      <x:c r="O202" s="25" t="str"/>
      <x:c r="P202" s="25" t="str"/>
      <x:c r="Q202" s="25" t="str"/>
      <x:c r="R202" s="25" t="str"/>
      <x:c r="S202" s="25" t="str"/>
      <x:c r="T202" s="25" t="str"/>
      <x:c r="U202" s="25" t="str">
        <x:v>GEO 1.0 (1).xlsx</x:v>
      </x:c>
      <x:c r="V202" s="25" t="str"/>
    </x:row>
    <x:row r="203" ht="32" customHeight="1">
      <x:c r="A203" s="25" t="str">
        <x:v>R1</x:v>
      </x:c>
      <x:c r="B203" s="26" t="n">
        <x:v>46232.166666666664</x:v>
      </x:c>
      <x:c r="C203" s="25" t="n">
        <x:v>199</x:v>
      </x:c>
      <x:c r="D203" s="25" t="str">
        <x:v>热处理炉温度不均，找厂家改造要看哪些能力</x:v>
      </x:c>
      <x:c r="E203" s="25" t="str">
        <x:v>非品牌词</x:v>
      </x:c>
      <x:c r="F203" s="25" t="str">
        <x:v>深度思考</x:v>
      </x:c>
      <x:c r="G203" s="25" t="str">
        <x:v>文心</x:v>
      </x:c>
      <x:c r="H203" s="25" t="str"/>
      <x:c r="I203" s="25" t="str">
        <x:v>否</x:v>
      </x:c>
      <x:c r="J203" s="25"/>
      <x:c r="K203" s="25" t="str"/>
      <x:c r="L203" s="25" t="str"/>
      <x:c r="M203" s="25" t="str"/>
      <x:c r="N203" s="25" t="str"/>
      <x:c r="O203" s="25" t="str"/>
      <x:c r="P203" s="25" t="str"/>
      <x:c r="Q203" s="25" t="str"/>
      <x:c r="R203" s="25" t="str"/>
      <x:c r="S203" s="25" t="str"/>
      <x:c r="T203" s="25" t="str"/>
      <x:c r="U203" s="25" t="str">
        <x:v>GEO 1.0 (1).xlsx</x:v>
      </x:c>
      <x:c r="V203" s="25" t="str"/>
    </x:row>
    <x:row r="204" ht="32" customHeight="1">
      <x:c r="A204" s="25" t="str">
        <x:v>R1</x:v>
      </x:c>
      <x:c r="B204" s="26" t="n">
        <x:v>46232.166666666664</x:v>
      </x:c>
      <x:c r="C204" s="25" t="n">
        <x:v>200</x:v>
      </x:c>
      <x:c r="D204" s="25" t="str">
        <x:v>江苏有没有做工业炉节能改造比较靠谱的厂家</x:v>
      </x:c>
      <x:c r="E204" s="25" t="str">
        <x:v>非品牌词</x:v>
      </x:c>
      <x:c r="F204" s="25" t="str">
        <x:v>深度思考</x:v>
      </x:c>
      <x:c r="G204" s="25" t="str">
        <x:v>豆包</x:v>
      </x:c>
      <x:c r="H204" s="25" t="str">
        <x:v>是</x:v>
      </x:c>
      <x:c r="I204" s="25" t="str">
        <x:v>否</x:v>
      </x:c>
      <x:c r="J204" s="25" t="n">
        <x:v>1</x:v>
      </x:c>
      <x:c r="K204" s="25" t="str">
        <x:v>http://shengnuo.cn/about/gong-si-jian-jie.htm</x:v>
      </x:c>
      <x:c r="L204" s="25" t="str">
        <x:v>https://m.sohu.com/?spm=smwp.404.0.0.17798718595654PqH1mn</x:v>
      </x:c>
      <x:c r="M204" s="25" t="str">
        <x:v>https://www.baike.com/wikiid/3707469582419685950</x:v>
      </x:c>
      <x:c r="N204" s="25" t="str">
        <x:v>http://www.zyboiler.com/</x:v>
      </x:c>
      <x:c r="O204" s="25" t="str">
        <x:v>http://www.jsyyen.com/?guanyu/</x:v>
      </x:c>
      <x:c r="P204" s="25" t="str">
        <x:v>https://www.yulicorp.com/</x:v>
      </x:c>
      <x:c r="Q204" s="25" t="str">
        <x:v>toutiao.com/article/7643724744419721737/?&amp;source=m_redirect</x:v>
      </x:c>
      <x:c r="R204" s="25" t="str">
        <x:v>https://m.sohu.com/a/1028007537_122610856/</x:v>
      </x:c>
      <x:c r="S204" s="25" t="str">
        <x:v>https://www.cnblogs.com/myqiye/p/19689690</x:v>
      </x:c>
      <x:c r="T204" s="25" t="str">
        <x:v>https://www.toutiao.com/article/7612801461537292854/?&amp;source=m_redirect</x:v>
      </x:c>
      <x:c r="U204" s="25" t="str">
        <x:v>GEO 1.0 (1).xlsx</x:v>
      </x:c>
      <x:c r="V204" s="25" t="str"/>
    </x:row>
    <x:row r="205" ht="32" customHeight="1">
      <x:c r="A205" s="25" t="str">
        <x:v>R1</x:v>
      </x:c>
      <x:c r="B205" s="26" t="n">
        <x:v>46232.166666666664</x:v>
      </x:c>
      <x:c r="C205" s="25" t="n">
        <x:v>201</x:v>
      </x:c>
      <x:c r="D205" s="25" t="str">
        <x:v>江苏有没有做工业炉节能改造比较靠谱的厂家</x:v>
      </x:c>
      <x:c r="E205" s="25" t="str">
        <x:v>非品牌词</x:v>
      </x:c>
      <x:c r="F205" s="25" t="str">
        <x:v>深度思考</x:v>
      </x:c>
      <x:c r="G205" s="25" t="str">
        <x:v>DeepSeek</x:v>
      </x:c>
      <x:c r="H205" s="25" t="str">
        <x:v>否</x:v>
      </x:c>
      <x:c r="I205" s="25" t="str">
        <x:v>否</x:v>
      </x:c>
      <x:c r="J205" s="25" t="n">
        <x:v>0</x:v>
      </x:c>
      <x:c r="K205" s="25" t="str">
        <x:v>https://china-mcc.com/prod_show-147620.html</x:v>
      </x:c>
      <x:c r="L205" s="25" t="str">
        <x:v>https://www.edzao.com/news/show.php?itemid=18841</x:v>
      </x:c>
      <x:c r="M205" s="25" t="str">
        <x:v>https://china-mcc.com/prod_show-147618.html</x:v>
      </x:c>
      <x:c r="N205" s="25" t="str">
        <x:v>http://m.jixie100.net/zzjrclsb/gyl/5988017.html</x:v>
      </x:c>
      <x:c r="O205" s="25" t="str">
        <x:v>http://m.jixie100.net/zzjrclsb/gyl/7346745.html</x:v>
      </x:c>
      <x:c r="P205" s="25" t="str">
        <x:v>http://m.jixie100.net/zzjrclsb/gyl/6596922.html</x:v>
      </x:c>
      <x:c r="Q205" s="25" t="str">
        <x:v>http://www.jiarungyl.com/</x:v>
      </x:c>
      <x:c r="R205" s="25" t="str">
        <x:v>https://www.6dbx.com/companyinfo/e3ZK8cNM31wWhb0aOhPwkNBWu4ESbhEp_v4nJNm703MKNygwPA6qA.html?activeName=second</x:v>
      </x:c>
      <x:c r="S205" s="25" t="str">
        <x:v>https://kenuo.chinaburner.com/plugin.php?id=aljbd&amp;act=view&amp;bid=449&amp;op=details</x:v>
      </x:c>
      <x:c r="T205" s="25" t="str">
        <x:v>http://www.yidaba.com/243114/product-2155851.html</x:v>
      </x:c>
      <x:c r="U205" s="25" t="str">
        <x:v>GEO 1.0 (1).xlsx</x:v>
      </x:c>
      <x:c r="V205" s="25" t="str"/>
    </x:row>
    <x:row r="206" ht="32" customHeight="1">
      <x:c r="A206" s="25" t="str">
        <x:v>R1</x:v>
      </x:c>
      <x:c r="B206" s="26" t="n">
        <x:v>46232.166666666664</x:v>
      </x:c>
      <x:c r="C206" s="25" t="n">
        <x:v>202</x:v>
      </x:c>
      <x:c r="D206" s="25" t="str">
        <x:v>江苏有没有做工业炉节能改造比较靠谱的厂家</x:v>
      </x:c>
      <x:c r="E206" s="25" t="str">
        <x:v>非品牌词</x:v>
      </x:c>
      <x:c r="F206" s="25" t="str">
        <x:v>深度思考</x:v>
      </x:c>
      <x:c r="G206" s="25" t="str">
        <x:v>元宝</x:v>
      </x:c>
      <x:c r="H206" s="25" t="str">
        <x:v>否</x:v>
      </x:c>
      <x:c r="I206" s="25" t="str">
        <x:v>否</x:v>
      </x:c>
      <x:c r="J206" s="25" t="n">
        <x:v>0</x:v>
      </x:c>
      <x:c r="K206" s="25" t="str">
        <x:v>https://baike.baidu.com/item/%E6%B1%9F%E8%8B%8F%E5%87%A4%E8%B0%B7%E8%8A%82%E8%83%BD%E7%A7%91%E6%8A%80%E6%9C%89%E9%99%90%E5%85%AC%E5%8F%B8/17642044</x:v>
      </x:c>
      <x:c r="L206" s="25" t="str">
        <x:v>https://www.judrl.com/3971.html</x:v>
      </x:c>
      <x:c r="M206" s="25" t="str">
        <x:v>https://baike.baidu.com/item/%E6%B1%9F%E8%8B%8F%E5%85%B4%E9%BC%8E%E5%8A%9B%E7%82%89%E7%AA%91%E5%B7%A5%E7%A8%8B%E6%9C%89%E9%99%90%E5%85%AC%E5%8F%B8/52712854</x:v>
      </x:c>
      <x:c r="N206" s="25" t="str">
        <x:v>https://www.edzao.com/news/show.php?itemid=18952</x:v>
      </x:c>
      <x:c r="O206" s="25" t="str">
        <x:v>http://www.wuxicunchang.com/</x:v>
      </x:c>
      <x:c r="P206" s="25" t="str">
        <x:v>https://industry.haoronglu.com/1112.html</x:v>
      </x:c>
      <x:c r="Q206" s="25" t="str">
        <x:v>https://mp.weixin.qq.com/s?src=11&amp;timestamp=1779946088&amp;ver=6747&amp;signature=ECF88eOmwxJRqwO8G8XNTfyo680PEowt*RwR9981kUC3V7aabZWO3uwl9L2ds8hslieOAEGWWH*LPs4*ha*R5vpCpG8FlBTtv8Z4MfuWZpBvOivfxd7LNwpMmhs4f7ZH&amp;new=1</x:v>
      </x:c>
      <x:c r="R206" s="25" t="str">
        <x:v>https://industry.haoronglu.com/1107.html</x:v>
      </x:c>
      <x:c r="S206" s="25" t="str">
        <x:v>https://www.judrl.com/3573.html</x:v>
      </x:c>
      <x:c r="T206" s="25" t="str">
        <x:v>https://www.cnpowder.com.cn/show/ns28522/</x:v>
      </x:c>
      <x:c r="U206" s="25" t="str">
        <x:v>GEO 1.0 (1).xlsx</x:v>
      </x:c>
      <x:c r="V206" s="25" t="str"/>
    </x:row>
    <x:row r="207" ht="32" customHeight="1">
      <x:c r="A207" s="25" t="str">
        <x:v>R1</x:v>
      </x:c>
      <x:c r="B207" s="26" t="n">
        <x:v>46232.166666666664</x:v>
      </x:c>
      <x:c r="C207" s="25" t="n">
        <x:v>203</x:v>
      </x:c>
      <x:c r="D207" s="25" t="str">
        <x:v>江苏有没有做工业炉节能改造比较靠谱的厂家</x:v>
      </x:c>
      <x:c r="E207" s="25" t="str">
        <x:v>非品牌词</x:v>
      </x:c>
      <x:c r="F207" s="25" t="str">
        <x:v>深度思考</x:v>
      </x:c>
      <x:c r="G207" s="25" t="str">
        <x:v>通义</x:v>
      </x:c>
      <x:c r="H207" s="25" t="str"/>
      <x:c r="I207" s="25" t="str">
        <x:v>否</x:v>
      </x:c>
      <x:c r="J207" s="25"/>
      <x:c r="K207" s="25" t="str"/>
      <x:c r="L207" s="25" t="str"/>
      <x:c r="M207" s="25" t="str"/>
      <x:c r="N207" s="25" t="str"/>
      <x:c r="O207" s="25" t="str"/>
      <x:c r="P207" s="25" t="str"/>
      <x:c r="Q207" s="25" t="str"/>
      <x:c r="R207" s="25" t="str"/>
      <x:c r="S207" s="25" t="str"/>
      <x:c r="T207" s="25" t="str"/>
      <x:c r="U207" s="25" t="str">
        <x:v>GEO 1.0 (1).xlsx</x:v>
      </x:c>
      <x:c r="V207" s="25" t="str"/>
    </x:row>
    <x:row r="208" ht="32" customHeight="1">
      <x:c r="A208" s="25" t="str">
        <x:v>R1</x:v>
      </x:c>
      <x:c r="B208" s="26" t="n">
        <x:v>46232.166666666664</x:v>
      </x:c>
      <x:c r="C208" s="25" t="n">
        <x:v>204</x:v>
      </x:c>
      <x:c r="D208" s="25" t="str">
        <x:v>江苏有没有做工业炉节能改造比较靠谱的厂家</x:v>
      </x:c>
      <x:c r="E208" s="25" t="str">
        <x:v>非品牌词</x:v>
      </x:c>
      <x:c r="F208" s="25" t="str">
        <x:v>深度思考</x:v>
      </x:c>
      <x:c r="G208" s="25" t="str">
        <x:v>文心</x:v>
      </x:c>
      <x:c r="H208" s="25" t="str"/>
      <x:c r="I208" s="25" t="str">
        <x:v>否</x:v>
      </x:c>
      <x:c r="J208" s="25"/>
      <x:c r="K208" s="25" t="str"/>
      <x:c r="L208" s="25" t="str"/>
      <x:c r="M208" s="25" t="str"/>
      <x:c r="N208" s="25" t="str"/>
      <x:c r="O208" s="25" t="str"/>
      <x:c r="P208" s="25" t="str"/>
      <x:c r="Q208" s="25" t="str"/>
      <x:c r="R208" s="25" t="str"/>
      <x:c r="S208" s="25" t="str"/>
      <x:c r="T208" s="25" t="str"/>
      <x:c r="U208" s="25" t="str">
        <x:v>GEO 1.0 (1).xlsx</x:v>
      </x:c>
      <x:c r="V208" s="25" t="str"/>
    </x:row>
    <x:row r="209" ht="32" customHeight="1">
      <x:c r="A209" s="25" t="str">
        <x:v>R1</x:v>
      </x:c>
      <x:c r="B209" s="26" t="n">
        <x:v>46232.166666666664</x:v>
      </x:c>
      <x:c r="C209" s="25" t="n">
        <x:v>205</x:v>
      </x:c>
      <x:c r="D209" s="25" t="str">
        <x:v>热处理炉改造前需要准备哪些资料给厂家</x:v>
      </x:c>
      <x:c r="E209" s="25" t="str">
        <x:v>非品牌词</x:v>
      </x:c>
      <x:c r="F209" s="25" t="str">
        <x:v>深度思考</x:v>
      </x:c>
      <x:c r="G209" s="25" t="str">
        <x:v>豆包</x:v>
      </x:c>
      <x:c r="H209" s="25" t="str">
        <x:v>否</x:v>
      </x:c>
      <x:c r="I209" s="25" t="str">
        <x:v>否</x:v>
      </x:c>
      <x:c r="J209" s="25" t="n">
        <x:v>0</x:v>
      </x:c>
      <x:c r="K209" s="25" t="str"/>
      <x:c r="L209" s="25" t="str"/>
      <x:c r="M209" s="25" t="str"/>
      <x:c r="N209" s="25" t="str"/>
      <x:c r="O209" s="25" t="str"/>
      <x:c r="P209" s="25" t="str"/>
      <x:c r="Q209" s="25" t="str"/>
      <x:c r="R209" s="25" t="str"/>
      <x:c r="S209" s="25" t="str"/>
      <x:c r="T209" s="25" t="str"/>
      <x:c r="U209" s="25" t="str">
        <x:v>GEO 1.0 (1).xlsx</x:v>
      </x:c>
      <x:c r="V209" s="25" t="str"/>
    </x:row>
    <x:row r="210" ht="32" customHeight="1">
      <x:c r="A210" s="25" t="str">
        <x:v>R1</x:v>
      </x:c>
      <x:c r="B210" s="26" t="n">
        <x:v>46232.166666666664</x:v>
      </x:c>
      <x:c r="C210" s="25" t="n">
        <x:v>206</x:v>
      </x:c>
      <x:c r="D210" s="25" t="str">
        <x:v>热处理炉改造前需要准备哪些资料给厂家</x:v>
      </x:c>
      <x:c r="E210" s="25" t="str">
        <x:v>非品牌词</x:v>
      </x:c>
      <x:c r="F210" s="25" t="str">
        <x:v>深度思考</x:v>
      </x:c>
      <x:c r="G210" s="25" t="str">
        <x:v>DeepSeek</x:v>
      </x:c>
      <x:c r="H210" s="25" t="str">
        <x:v>否</x:v>
      </x:c>
      <x:c r="I210" s="25" t="str">
        <x:v>否</x:v>
      </x:c>
      <x:c r="J210" s="25" t="n">
        <x:v>0</x:v>
      </x:c>
      <x:c r="K210" s="25" t="str">
        <x:v>http://www.hkhongtu.com/zbggxq/102.html</x:v>
      </x:c>
      <x:c r="L210" s="25" t="str">
        <x:v>https://www.tongyuheavy.com/zzzz_detail/10.html</x:v>
      </x:c>
      <x:c r="M210" s="25" t="str">
        <x:v>https://www.jiermt.com/cmscontent/2488.html</x:v>
      </x:c>
      <x:c r="N210" s="25" t="str">
        <x:v>https://www.jiermt.com/cmscontent/2488.html</x:v>
      </x:c>
      <x:c r="O210" s="25" t="str">
        <x:v>http://www.gwdt.cn/g-zb-31961367.html</x:v>
      </x:c>
      <x:c r="P210" s="25" t="str">
        <x:v>https://www.avicbid.com/cmszzbgg/add31b5e366c4f6b94df7b6740ed46b9.html</x:v>
      </x:c>
      <x:c r="Q210" s="25" t="str">
        <x:v>http://www.cdgmgd.com/webapp/accessory/ueditor/upload/file/20221026/1666756183066055422.docx#3#3</x:v>
      </x:c>
      <x:c r="R210" s="25" t="str">
        <x:v>http://m.gdtzb.com/g-zb-44409470.html</x:v>
      </x:c>
      <x:c r="S210" s="25" t="str">
        <x:v>https://m.zjtcn.com/baike/rclldaztsywx6941998</x:v>
      </x:c>
      <x:c r="T210" s="25" t="str">
        <x:v>http://www.yangjiang.gov.cn/attachment/0/71/71603/858777.pdf#52#47</x:v>
      </x:c>
      <x:c r="U210" s="25" t="str">
        <x:v>GEO 1.0 (1).xlsx</x:v>
      </x:c>
      <x:c r="V210" s="25" t="str"/>
    </x:row>
    <x:row r="211" ht="32" customHeight="1">
      <x:c r="A211" s="25" t="str">
        <x:v>R1</x:v>
      </x:c>
      <x:c r="B211" s="26" t="n">
        <x:v>46232.166666666664</x:v>
      </x:c>
      <x:c r="C211" s="25" t="n">
        <x:v>207</x:v>
      </x:c>
      <x:c r="D211" s="25" t="str">
        <x:v>热处理炉改造前需要准备哪些资料给厂家</x:v>
      </x:c>
      <x:c r="E211" s="25" t="str">
        <x:v>非品牌词</x:v>
      </x:c>
      <x:c r="F211" s="25" t="str">
        <x:v>深度思考</x:v>
      </x:c>
      <x:c r="G211" s="25" t="str">
        <x:v>元宝</x:v>
      </x:c>
      <x:c r="H211" s="25" t="str">
        <x:v>否</x:v>
      </x:c>
      <x:c r="I211" s="25" t="str">
        <x:v>否</x:v>
      </x:c>
      <x:c r="J211" s="25" t="n">
        <x:v>0</x:v>
      </x:c>
      <x:c r="K211" s="25" t="str">
        <x:v>https://www.88360.com/qiye/wenda-cmsbqxj8.html</x:v>
      </x:c>
      <x:c r="L211" s="25" t="str">
        <x:v>https://sd.bidcenter.com.cn/diqucontent-25909649-1.html</x:v>
      </x:c>
      <x:c r="M211" s="25" t="str">
        <x:v>https://zb.jlbkjt.com/shebeilei/6082.html</x:v>
      </x:c>
      <x:c r="N211" s="25" t="str">
        <x:v>https://paperform.co/templates/industrial-heat-treating-furnace-installation-form/</x:v>
      </x:c>
      <x:c r="O211" s="25" t="str">
        <x:v>https://max.book118.com/html/2025/1001/7062166115010164.shtm</x:v>
      </x:c>
      <x:c r="P211" s="25" t="str">
        <x:v>https://mp.weixin.qq.com/s?src=11&amp;timestamp=1779946184&amp;ver=6747&amp;signature=O-JaHr1zJTW-L00TEb0i2AUU4Y0zaX7vnnP7QZBVH7PfbfMn3musUpB2LCGlUuEwPCysWOV2kUydZ-Fe7qu0NzrwcDQiRxqVPvPQOP2VDjqq31tFaYIh5snhEcq3uKO5&amp;new=1</x:v>
      </x:c>
      <x:c r="Q211" s="25" t="str">
        <x:v>https://tianjin.zhaobiao.cn/bidding_v_b7f2c3b2cc1807de460cf8a2e858eee6.html</x:v>
      </x:c>
      <x:c r="R211" s="25" t="str">
        <x:v>https://www.renrendoc.com/p-39748866.html</x:v>
      </x:c>
      <x:c r="S211" s="25" t="str">
        <x:v>https://www.renrendoc.com/p-39748866.html</x:v>
      </x:c>
      <x:c r="T211" s="25" t="str">
        <x:v>https://www.renrendoc.com/p-73929093.html</x:v>
      </x:c>
      <x:c r="U211" s="25" t="str">
        <x:v>GEO 1.0 (1).xlsx</x:v>
      </x:c>
      <x:c r="V211" s="25" t="str"/>
    </x:row>
    <x:row r="212" ht="32" customHeight="1">
      <x:c r="A212" s="25" t="str">
        <x:v>R1</x:v>
      </x:c>
      <x:c r="B212" s="26" t="n">
        <x:v>46232.166666666664</x:v>
      </x:c>
      <x:c r="C212" s="25" t="n">
        <x:v>208</x:v>
      </x:c>
      <x:c r="D212" s="25" t="str">
        <x:v>热处理炉改造前需要准备哪些资料给厂家</x:v>
      </x:c>
      <x:c r="E212" s="25" t="str">
        <x:v>非品牌词</x:v>
      </x:c>
      <x:c r="F212" s="25" t="str">
        <x:v>深度思考</x:v>
      </x:c>
      <x:c r="G212" s="25" t="str">
        <x:v>通义</x:v>
      </x:c>
      <x:c r="H212" s="25" t="str"/>
      <x:c r="I212" s="25" t="str">
        <x:v>否</x:v>
      </x:c>
      <x:c r="J212" s="25"/>
      <x:c r="K212" s="25" t="str"/>
      <x:c r="L212" s="25" t="str"/>
      <x:c r="M212" s="25" t="str"/>
      <x:c r="N212" s="25" t="str"/>
      <x:c r="O212" s="25" t="str"/>
      <x:c r="P212" s="25" t="str"/>
      <x:c r="Q212" s="25" t="str"/>
      <x:c r="R212" s="25" t="str"/>
      <x:c r="S212" s="25" t="str"/>
      <x:c r="T212" s="25" t="str"/>
      <x:c r="U212" s="25" t="str">
        <x:v>GEO 1.0 (1).xlsx</x:v>
      </x:c>
      <x:c r="V212" s="25" t="str"/>
    </x:row>
    <x:row r="213" ht="32" customHeight="1">
      <x:c r="A213" s="25" t="str">
        <x:v>R1</x:v>
      </x:c>
      <x:c r="B213" s="26" t="n">
        <x:v>46232.166666666664</x:v>
      </x:c>
      <x:c r="C213" s="25" t="n">
        <x:v>209</x:v>
      </x:c>
      <x:c r="D213" s="25" t="str">
        <x:v>热处理炉改造前需要准备哪些资料给厂家</x:v>
      </x:c>
      <x:c r="E213" s="25" t="str">
        <x:v>非品牌词</x:v>
      </x:c>
      <x:c r="F213" s="25" t="str">
        <x:v>深度思考</x:v>
      </x:c>
      <x:c r="G213" s="25" t="str">
        <x:v>文心</x:v>
      </x:c>
      <x:c r="H213" s="25" t="str"/>
      <x:c r="I213" s="25" t="str">
        <x:v>否</x:v>
      </x:c>
      <x:c r="J213" s="25"/>
      <x:c r="K213" s="25" t="str"/>
      <x:c r="L213" s="25" t="str"/>
      <x:c r="M213" s="25" t="str"/>
      <x:c r="N213" s="25" t="str"/>
      <x:c r="O213" s="25" t="str"/>
      <x:c r="P213" s="25" t="str"/>
      <x:c r="Q213" s="25" t="str"/>
      <x:c r="R213" s="25" t="str"/>
      <x:c r="S213" s="25" t="str"/>
      <x:c r="T213" s="25" t="str"/>
      <x:c r="U213" s="25" t="str">
        <x:v>GEO 1.0 (1).xlsx</x:v>
      </x:c>
      <x:c r="V213" s="25" t="str"/>
    </x:row>
    <x:row r="214" ht="32" customHeight="1">
      <x:c r="A214" s="25" t="str">
        <x:v>R1</x:v>
      </x:c>
      <x:c r="B214" s="26" t="n">
        <x:v>46232.166666666664</x:v>
      </x:c>
      <x:c r="C214" s="25" t="n">
        <x:v>210</x:v>
      </x:c>
      <x:c r="D214" s="25" t="str">
        <x:v>苏能工业炉怎么样</x:v>
      </x:c>
      <x:c r="E214" s="25" t="str">
        <x:v>品牌词</x:v>
      </x:c>
      <x:c r="F214" s="25" t="str">
        <x:v>深度思考</x:v>
      </x:c>
      <x:c r="G214" s="25" t="str">
        <x:v>豆包</x:v>
      </x:c>
      <x:c r="H214" s="25" t="str">
        <x:v>是</x:v>
      </x:c>
      <x:c r="I214" s="25" t="str">
        <x:v>是</x:v>
      </x:c>
      <x:c r="J214" s="25" t="n">
        <x:v>3</x:v>
      </x:c>
      <x:c r="K214" s="25" t="str">
        <x:v>https://m.qcc.com/mlogin?back=%2Ffirm%2F17b407e512cd1580b01070d0d6fa5ac0.html</x:v>
      </x:c>
      <x:c r="L214" s="25" t="str">
        <x:v>https://shuidi.cn/company-647876586416328557a17119ac150149.html?from=doubao</x:v>
      </x:c>
      <x:c r="M214" s="25" t="str">
        <x:v>https://patentimages.storage.googleapis.com/28/eb/25/ea78ac044bcb29/CN218673086U.pdf</x:v>
      </x:c>
      <x:c r="N214" s="25" t="str">
        <x:v>https://m.zhipin.com/web/common/security-check.html?seed=PYV7hGt4HWAZ0OMcJbzjn%2BsVOcawdqEFRD4XO1II24r4ZyoRExVRJCpJJBbSKDWbTyd8AhJv869BpeO3xNZ7ug%3D%3D&amp;name=4ae04288&amp;ts=1779871053264&amp;callbackUrl=%2Fgongsi%2F31fa5ade7e05936a33Z73N25Fw~~.html&amp;srcReferer</x:v>
      </x:c>
      <x:c r="O214" s="25" t="str">
        <x:v>https://www.jssngyl.cn/zh</x:v>
      </x:c>
      <x:c r="P214" s="25" t="str">
        <x:v>https://www.zhaopin.com/companydetail/CZ530397220.htm</x:v>
      </x:c>
      <x:c r="Q214" s="25" t="str">
        <x:v>https://www.qixin.com/auth/login?return_url=%2Fminute%2F6470c8f4-780f-47ab-853c-04b5e8600451</x:v>
      </x:c>
      <x:c r="R214" s="25" t="str">
        <x:v>https://www.jssngyl.cn/zh/news</x:v>
      </x:c>
      <x:c r="S214" s="25" t="str">
        <x:v>https://www.jssngyl.cn/zh</x:v>
      </x:c>
      <x:c r="T214" s="25" t="str">
        <x:v>https://gxt.jiangsu.gov.cn/art/2021/12/28/art_6278_10235113.html</x:v>
      </x:c>
      <x:c r="U214" s="25" t="str">
        <x:v>GEO 1.0 (1).xlsx</x:v>
      </x:c>
      <x:c r="V214" s="25" t="str"/>
    </x:row>
    <x:row r="215" ht="32" customHeight="1">
      <x:c r="A215" s="25" t="str">
        <x:v>R1</x:v>
      </x:c>
      <x:c r="B215" s="26" t="n">
        <x:v>46232.166666666664</x:v>
      </x:c>
      <x:c r="C215" s="25" t="n">
        <x:v>211</x:v>
      </x:c>
      <x:c r="D215" s="25" t="str">
        <x:v>苏能工业炉怎么样</x:v>
      </x:c>
      <x:c r="E215" s="25" t="str">
        <x:v>品牌词</x:v>
      </x:c>
      <x:c r="F215" s="25" t="str">
        <x:v>深度思考</x:v>
      </x:c>
      <x:c r="G215" s="25" t="str">
        <x:v>DeepSeek</x:v>
      </x:c>
      <x:c r="H215" s="25" t="str">
        <x:v>是</x:v>
      </x:c>
      <x:c r="I215" s="25" t="str">
        <x:v>否</x:v>
      </x:c>
      <x:c r="J215" s="25" t="n">
        <x:v>1</x:v>
      </x:c>
      <x:c r="K215" s="25" t="str">
        <x:v>https://m-harmony.qcc.com/firm/17b407e512cd1580b01070d0d6fa5ac0.html</x:v>
      </x:c>
      <x:c r="L215" s="25" t="str">
        <x:v>https://seo.chinaz.com/xzgyl.ebdoor.com</x:v>
      </x:c>
      <x:c r="M215" s="25" t="str">
        <x:v>https://shuidi.cn/company-647876586416328557a17119ac150149.html</x:v>
      </x:c>
      <x:c r="N215" s="25" t="str">
        <x:v>https://m.qixin.com/bidding/6470c8f4-780f-47ab-853c-04b5e8600451</x:v>
      </x:c>
      <x:c r="O215" s="25" t="str">
        <x:v>https://www.gongkong.com/Company/200812/6966.html</x:v>
      </x:c>
      <x:c r="P215" s="25" t="str">
        <x:v>https://sunenggongye.gys.cn/</x:v>
      </x:c>
      <x:c r="Q215" s="25" t="str">
        <x:v>https://www.11467.com/qiye/21160258.htm</x:v>
      </x:c>
      <x:c r="R215" s="25" t="str">
        <x:v>https://www.1subao.net/com/jysuneng/introduce/</x:v>
      </x:c>
      <x:c r="S215" s="25" t="str">
        <x:v>https://m.qixin.com/company/6470c8f4-780f-47ab-853c-04b5e8600451</x:v>
      </x:c>
      <x:c r="T215" s="25" t="str">
        <x:v>https://shangji.ibicn.com/supply/7143401.html</x:v>
      </x:c>
      <x:c r="U215" s="25" t="str">
        <x:v>GEO 1.0 (1).xlsx</x:v>
      </x:c>
      <x:c r="V215" s="25" t="str"/>
    </x:row>
    <x:row r="216" ht="32" customHeight="1">
      <x:c r="A216" s="25" t="str">
        <x:v>R1</x:v>
      </x:c>
      <x:c r="B216" s="26" t="n">
        <x:v>46232.166666666664</x:v>
      </x:c>
      <x:c r="C216" s="25" t="n">
        <x:v>212</x:v>
      </x:c>
      <x:c r="D216" s="25" t="str">
        <x:v>苏能工业炉怎么样</x:v>
      </x:c>
      <x:c r="E216" s="25" t="str">
        <x:v>品牌词</x:v>
      </x:c>
      <x:c r="F216" s="25" t="str">
        <x:v>深度思考</x:v>
      </x:c>
      <x:c r="G216" s="25" t="str">
        <x:v>元宝</x:v>
      </x:c>
      <x:c r="H216" s="25" t="str">
        <x:v>是</x:v>
      </x:c>
      <x:c r="I216" s="25" t="str">
        <x:v>是</x:v>
      </x:c>
      <x:c r="J216" s="25" t="n">
        <x:v>3</x:v>
      </x:c>
      <x:c r="K216" s="25" t="str">
        <x:v>https://m.qcc.com/mlogin?back=%2Ffirm%2F17b407e512cd1580b01070d0d6fa5ac0.html</x:v>
      </x:c>
      <x:c r="L216" s="25" t="str">
        <x:v>https://shuidi.cn/company-647876586416328557a17119ac150149.html?from=doubao</x:v>
      </x:c>
      <x:c r="M216" s="25" t="str">
        <x:v>https://patentimages.storage.googleapis.com/28/eb/25/ea78ac044bcb29/CN218673086U.pdf</x:v>
      </x:c>
      <x:c r="N216" s="25" t="str">
        <x:v>https://m.zhipin.com/web/common/security-check.html?seed=PYV7hGt4HWAZ0OMcJbzjn%2BsVOcawdqEFRD4XO1II24r4ZyoRExVRJCpJJBbSKDWbTyd8AhJv869BpeO3xNZ7ug%3D%3D&amp;name=4ae04288&amp;ts=1779871053264&amp;callbackUrl=%2Fgongsi%2F31fa5ade7e05936a33Z73N25Fw~~.html&amp;srcReferer</x:v>
      </x:c>
      <x:c r="O216" s="25" t="str">
        <x:v>https://www.jssngyl.cn/zh</x:v>
      </x:c>
      <x:c r="P216" s="25" t="str">
        <x:v>https://www.zhaopin.com/companydetail/CZ530397220.htm</x:v>
      </x:c>
      <x:c r="Q216" s="25" t="str">
        <x:v>https://www.qixin.com/auth/login?return_url=%2Fminute%2F6470c8f4-780f-47ab-853c-04b5e8600451</x:v>
      </x:c>
      <x:c r="R216" s="25" t="str">
        <x:v>https://www.jssngyl.cn/zh/news</x:v>
      </x:c>
      <x:c r="S216" s="25" t="str">
        <x:v>https://www.jssngyl.cn/zh</x:v>
      </x:c>
      <x:c r="T216" s="25" t="str">
        <x:v>https://gxt.jiangsu.gov.cn/art/2021/12/28/art_6278_10235113.html</x:v>
      </x:c>
      <x:c r="U216" s="25" t="str">
        <x:v>GEO 1.0 (1).xlsx</x:v>
      </x:c>
      <x:c r="V216" s="25" t="str"/>
    </x:row>
    <x:row r="217" ht="32" customHeight="1">
      <x:c r="A217" s="25" t="str">
        <x:v>R1</x:v>
      </x:c>
      <x:c r="B217" s="26" t="n">
        <x:v>46232.166666666664</x:v>
      </x:c>
      <x:c r="C217" s="25" t="n">
        <x:v>213</x:v>
      </x:c>
      <x:c r="D217" s="25" t="str">
        <x:v>苏能工业炉怎么样</x:v>
      </x:c>
      <x:c r="E217" s="25" t="str">
        <x:v>品牌词</x:v>
      </x:c>
      <x:c r="F217" s="25" t="str">
        <x:v>深度思考</x:v>
      </x:c>
      <x:c r="G217" s="25" t="str">
        <x:v>通义</x:v>
      </x:c>
      <x:c r="H217" s="25" t="str"/>
      <x:c r="I217" s="25" t="str">
        <x:v>否</x:v>
      </x:c>
      <x:c r="J217" s="25"/>
      <x:c r="K217" s="25" t="str"/>
      <x:c r="L217" s="25" t="str"/>
      <x:c r="M217" s="25" t="str"/>
      <x:c r="N217" s="25" t="str"/>
      <x:c r="O217" s="25" t="str"/>
      <x:c r="P217" s="25" t="str"/>
      <x:c r="Q217" s="25" t="str"/>
      <x:c r="R217" s="25" t="str"/>
      <x:c r="S217" s="25" t="str"/>
      <x:c r="T217" s="25" t="str"/>
      <x:c r="U217" s="25" t="str">
        <x:v>GEO 1.0 (1).xlsx</x:v>
      </x:c>
      <x:c r="V217" s="25" t="str"/>
    </x:row>
    <x:row r="218" ht="32" customHeight="1">
      <x:c r="A218" s="25" t="str">
        <x:v>R1</x:v>
      </x:c>
      <x:c r="B218" s="26" t="n">
        <x:v>46232.166666666664</x:v>
      </x:c>
      <x:c r="C218" s="25" t="n">
        <x:v>214</x:v>
      </x:c>
      <x:c r="D218" s="25" t="str">
        <x:v>苏能工业炉怎么样</x:v>
      </x:c>
      <x:c r="E218" s="25" t="str">
        <x:v>品牌词</x:v>
      </x:c>
      <x:c r="F218" s="25" t="str">
        <x:v>深度思考</x:v>
      </x:c>
      <x:c r="G218" s="25" t="str">
        <x:v>文心</x:v>
      </x:c>
      <x:c r="H218" s="25" t="str"/>
      <x:c r="I218" s="25" t="str">
        <x:v>否</x:v>
      </x:c>
      <x:c r="J218" s="25"/>
      <x:c r="K218" s="25" t="str"/>
      <x:c r="L218" s="25" t="str"/>
      <x:c r="M218" s="25" t="str"/>
      <x:c r="N218" s="25" t="str"/>
      <x:c r="O218" s="25" t="str"/>
      <x:c r="P218" s="25" t="str"/>
      <x:c r="Q218" s="25" t="str"/>
      <x:c r="R218" s="25" t="str"/>
      <x:c r="S218" s="25" t="str"/>
      <x:c r="T218" s="25" t="str"/>
      <x:c r="U218" s="25" t="str">
        <x:v>GEO 1.0 (1).xlsx</x:v>
      </x:c>
      <x:c r="V218" s="25" t="str"/>
    </x:row>
    <x:row r="219" ht="32" customHeight="1">
      <x:c r="A219" s="25" t="str">
        <x:v>R1</x:v>
      </x:c>
      <x:c r="B219" s="26" t="n">
        <x:v>46232.166666666664</x:v>
      </x:c>
      <x:c r="C219" s="25" t="n">
        <x:v>215</x:v>
      </x:c>
      <x:c r="D219" s="25" t="str">
        <x:v>苏能工业炉是厂家吗</x:v>
      </x:c>
      <x:c r="E219" s="25" t="str">
        <x:v>品牌词</x:v>
      </x:c>
      <x:c r="F219" s="25" t="str">
        <x:v>深度思考</x:v>
      </x:c>
      <x:c r="G219" s="25" t="str">
        <x:v>豆包</x:v>
      </x:c>
      <x:c r="H219" s="25" t="str">
        <x:v>是</x:v>
      </x:c>
      <x:c r="I219" s="25" t="str">
        <x:v>是</x:v>
      </x:c>
      <x:c r="J219" s="25" t="n">
        <x:v>3</x:v>
      </x:c>
      <x:c r="K219" s="25" t="str">
        <x:v>https://m.qcc.com/mlogin?back=%2Ffirm%2F17b407e512cd1580b01070d0d6fa5ac0.html</x:v>
      </x:c>
      <x:c r="L219" s="25" t="str">
        <x:v>https://shuidi.cn/company-647876586416328557a17119ac150149.html?from=doubao</x:v>
      </x:c>
      <x:c r="M219" s="25" t="str">
        <x:v>https://patentimages.storage.googleapis.com/28/eb/25/ea78ac044bcb29/CN218673086U.pdf</x:v>
      </x:c>
      <x:c r="N219" s="25" t="str">
        <x:v>https://m.zhipin.com/web/common/security-check.html?seed=PYV7hGt4HWAZ0OMcJbzjn%2BsVOcawdqEFRD4XO1II24r4ZyoRExVRJCpJJBbSKDWbTyd8AhJv869BpeO3xNZ7ug%3D%3D&amp;name=4ae04288&amp;ts=1779871053264&amp;callbackUrl=%2Fgongsi%2F31fa5ade7e05936a33Z73N25Fw~~.html&amp;srcReferer</x:v>
      </x:c>
      <x:c r="O219" s="25" t="str">
        <x:v>https://www.jssngyl.cn/zh</x:v>
      </x:c>
      <x:c r="P219" s="25" t="str">
        <x:v>https://www.zhaopin.com/companydetail/CZ530397220.htm</x:v>
      </x:c>
      <x:c r="Q219" s="25" t="str">
        <x:v>https://www.qixin.com/auth/login?return_url=%2Fminute%2F6470c8f4-780f-47ab-853c-04b5e8600451</x:v>
      </x:c>
      <x:c r="R219" s="25" t="str">
        <x:v>https://www.jssngyl.cn/zh/news</x:v>
      </x:c>
      <x:c r="S219" s="25" t="str">
        <x:v>https://www.jssngyl.cn/zh</x:v>
      </x:c>
      <x:c r="T219" s="25" t="str">
        <x:v>https://gxt.jiangsu.gov.cn/art/2021/12/28/art_6278_10235113.html</x:v>
      </x:c>
      <x:c r="U219" s="25" t="str">
        <x:v>GEO 1.0 (1).xlsx</x:v>
      </x:c>
      <x:c r="V219" s="25" t="str"/>
    </x:row>
    <x:row r="220" ht="32" customHeight="1">
      <x:c r="A220" s="25" t="str">
        <x:v>R1</x:v>
      </x:c>
      <x:c r="B220" s="26" t="n">
        <x:v>46232.166666666664</x:v>
      </x:c>
      <x:c r="C220" s="25" t="n">
        <x:v>216</x:v>
      </x:c>
      <x:c r="D220" s="25" t="str">
        <x:v>苏能工业炉是厂家吗</x:v>
      </x:c>
      <x:c r="E220" s="25" t="str">
        <x:v>品牌词</x:v>
      </x:c>
      <x:c r="F220" s="25" t="str">
        <x:v>深度思考</x:v>
      </x:c>
      <x:c r="G220" s="25" t="str">
        <x:v>DeepSeek</x:v>
      </x:c>
      <x:c r="H220" s="25" t="str">
        <x:v>是</x:v>
      </x:c>
      <x:c r="I220" s="25" t="str">
        <x:v>否</x:v>
      </x:c>
      <x:c r="J220" s="25" t="n">
        <x:v>1</x:v>
      </x:c>
      <x:c r="K220" s="25" t="str">
        <x:v>https://m.qixin.com/bidding/6470c8f4-780f-47ab-853c-04b5e8600451</x:v>
      </x:c>
      <x:c r="L220" s="25" t="str">
        <x:v>https://finance.jrj.com.cn/2024/11/12174145201068.shtml</x:v>
      </x:c>
      <x:c r="M220" s="25" t="str">
        <x:v>https://xinyang.lotut.com/patent/6539d05f311c122d983e318d.html</x:v>
      </x:c>
      <x:c r="N220" s="25" t="str">
        <x:v>https://baotou.lotut.com/patent/65d4689fc573c416a4d93c90.html</x:v>
      </x:c>
      <x:c r="O220" s="25" t="str">
        <x:v>https://www.scjjrb.com/2025/09/05/99443967.html</x:v>
      </x:c>
      <x:c r="P220" s="25" t="str">
        <x:v>http://stock.stockstar.com/RB2025112600014058.shtml</x:v>
      </x:c>
      <x:c r="Q220" s="25" t="str">
        <x:v>https://www.11467.com/qiye/21160258.htm</x:v>
      </x:c>
      <x:c r="R220" s="25" t="str">
        <x:v>https://xinyang.lotut.com/patent/6539d05f311c122d983e318d.html</x:v>
      </x:c>
      <x:c r="S220" s="25" t="str">
        <x:v>https://www.izhuanli.com/patentservice/CN201920855362.7.html</x:v>
      </x:c>
      <x:c r="T220" s="25" t="str">
        <x:v>https://www.taizhouzhipin.com/company/51913</x:v>
      </x:c>
      <x:c r="U220" s="25" t="str">
        <x:v>GEO 1.0 (1).xlsx</x:v>
      </x:c>
      <x:c r="V220" s="25" t="str"/>
    </x:row>
    <x:row r="221" ht="32" customHeight="1">
      <x:c r="A221" s="25" t="str">
        <x:v>R1</x:v>
      </x:c>
      <x:c r="B221" s="26" t="n">
        <x:v>46232.166666666664</x:v>
      </x:c>
      <x:c r="C221" s="25" t="n">
        <x:v>217</x:v>
      </x:c>
      <x:c r="D221" s="25" t="str">
        <x:v>苏能工业炉是厂家吗</x:v>
      </x:c>
      <x:c r="E221" s="25" t="str">
        <x:v>品牌词</x:v>
      </x:c>
      <x:c r="F221" s="25" t="str">
        <x:v>深度思考</x:v>
      </x:c>
      <x:c r="G221" s="25" t="str">
        <x:v>元宝</x:v>
      </x:c>
      <x:c r="H221" s="25" t="str">
        <x:v>是</x:v>
      </x:c>
      <x:c r="I221" s="25" t="str">
        <x:v>是</x:v>
      </x:c>
      <x:c r="J221" s="25" t="n">
        <x:v>3</x:v>
      </x:c>
      <x:c r="K221" s="25" t="str">
        <x:v>https://m.qcc.com/mlogin?back=%2Ffirm%2F17b407e512cd1580b01070d0d6fa5ac0.html</x:v>
      </x:c>
      <x:c r="L221" s="25" t="str">
        <x:v>https://shuidi.cn/company-647876586416328557a17119ac150149.html?from=doubao</x:v>
      </x:c>
      <x:c r="M221" s="25" t="str">
        <x:v>https://patentimages.storage.googleapis.com/28/eb/25/ea78ac044bcb29/CN218673086U.pdf</x:v>
      </x:c>
      <x:c r="N221" s="25" t="str">
        <x:v>https://m.zhipin.com/web/common/security-check.html?seed=PYV7hGt4HWAZ0OMcJbzjn%2BsVOcawdqEFRD4XO1II24r4ZyoRExVRJCpJJBbSKDWbTyd8AhJv869BpeO3xNZ7ug%3D%3D&amp;name=4ae04288&amp;ts=1779871053264&amp;callbackUrl=%2Fgongsi%2F31fa5ade7e05936a33Z73N25Fw~~.html&amp;srcReferer</x:v>
      </x:c>
      <x:c r="O221" s="25" t="str">
        <x:v>https://www.jssngyl.cn/zh</x:v>
      </x:c>
      <x:c r="P221" s="25" t="str">
        <x:v>https://www.zhaopin.com/companydetail/CZ530397220.htm</x:v>
      </x:c>
      <x:c r="Q221" s="25" t="str">
        <x:v>https://www.qixin.com/auth/login?return_url=%2Fminute%2F6470c8f4-780f-47ab-853c-04b5e8600451</x:v>
      </x:c>
      <x:c r="R221" s="25" t="str">
        <x:v>https://www.jssngyl.cn/zh/news</x:v>
      </x:c>
      <x:c r="S221" s="25" t="str">
        <x:v>https://www.jssngyl.cn/zh</x:v>
      </x:c>
      <x:c r="T221" s="25" t="str">
        <x:v>https://gxt.jiangsu.gov.cn/art/2021/12/28/art_6278_10235113.html</x:v>
      </x:c>
      <x:c r="U221" s="25" t="str">
        <x:v>GEO 1.0 (1).xlsx</x:v>
      </x:c>
      <x:c r="V221" s="25" t="str"/>
    </x:row>
    <x:row r="222" ht="32" customHeight="1">
      <x:c r="A222" s="25" t="str">
        <x:v>R1</x:v>
      </x:c>
      <x:c r="B222" s="26" t="n">
        <x:v>46232.166666666664</x:v>
      </x:c>
      <x:c r="C222" s="25" t="n">
        <x:v>218</x:v>
      </x:c>
      <x:c r="D222" s="25" t="str">
        <x:v>苏能工业炉是厂家吗</x:v>
      </x:c>
      <x:c r="E222" s="25" t="str">
        <x:v>品牌词</x:v>
      </x:c>
      <x:c r="F222" s="25" t="str">
        <x:v>深度思考</x:v>
      </x:c>
      <x:c r="G222" s="25" t="str">
        <x:v>通义</x:v>
      </x:c>
      <x:c r="H222" s="25" t="str"/>
      <x:c r="I222" s="25" t="str">
        <x:v>否</x:v>
      </x:c>
      <x:c r="J222" s="25"/>
      <x:c r="K222" s="25" t="str"/>
      <x:c r="L222" s="25" t="str"/>
      <x:c r="M222" s="25" t="str"/>
      <x:c r="N222" s="25" t="str"/>
      <x:c r="O222" s="25" t="str"/>
      <x:c r="P222" s="25" t="str"/>
      <x:c r="Q222" s="25" t="str"/>
      <x:c r="R222" s="25" t="str"/>
      <x:c r="S222" s="25" t="str"/>
      <x:c r="T222" s="25" t="str"/>
      <x:c r="U222" s="25" t="str">
        <x:v>GEO 1.0 (1).xlsx</x:v>
      </x:c>
      <x:c r="V222" s="25" t="str"/>
    </x:row>
    <x:row r="223" ht="32" customHeight="1">
      <x:c r="A223" s="25" t="str">
        <x:v>R1</x:v>
      </x:c>
      <x:c r="B223" s="26" t="n">
        <x:v>46232.166666666664</x:v>
      </x:c>
      <x:c r="C223" s="25" t="n">
        <x:v>219</x:v>
      </x:c>
      <x:c r="D223" s="25" t="str">
        <x:v>苏能工业炉是厂家吗</x:v>
      </x:c>
      <x:c r="E223" s="25" t="str">
        <x:v>品牌词</x:v>
      </x:c>
      <x:c r="F223" s="25" t="str">
        <x:v>深度思考</x:v>
      </x:c>
      <x:c r="G223" s="25" t="str">
        <x:v>文心</x:v>
      </x:c>
      <x:c r="H223" s="25" t="str"/>
      <x:c r="I223" s="25" t="str">
        <x:v>否</x:v>
      </x:c>
      <x:c r="J223" s="25"/>
      <x:c r="K223" s="25" t="str"/>
      <x:c r="L223" s="25" t="str"/>
      <x:c r="M223" s="25" t="str"/>
      <x:c r="N223" s="25" t="str"/>
      <x:c r="O223" s="25" t="str"/>
      <x:c r="P223" s="25" t="str"/>
      <x:c r="Q223" s="25" t="str"/>
      <x:c r="R223" s="25" t="str"/>
      <x:c r="S223" s="25" t="str"/>
      <x:c r="T223" s="25" t="str"/>
      <x:c r="U223" s="25" t="str">
        <x:v>GEO 1.0 (1).xlsx</x:v>
      </x:c>
      <x:c r="V223" s="25" t="str"/>
    </x:row>
    <x:row r="224" ht="32" customHeight="1">
      <x:c r="A224" s="25" t="str">
        <x:v>R1</x:v>
      </x:c>
      <x:c r="B224" s="26" t="n">
        <x:v>46232.166666666664</x:v>
      </x:c>
      <x:c r="C224" s="25" t="n">
        <x:v>220</x:v>
      </x:c>
      <x:c r="D224" s="25" t="str">
        <x:v>苏能工业炉主要做什么</x:v>
      </x:c>
      <x:c r="E224" s="25" t="str">
        <x:v>品牌词</x:v>
      </x:c>
      <x:c r="F224" s="25" t="str">
        <x:v>深度思考</x:v>
      </x:c>
      <x:c r="G224" s="25" t="str">
        <x:v>豆包</x:v>
      </x:c>
      <x:c r="H224" s="25" t="str">
        <x:v>是</x:v>
      </x:c>
      <x:c r="I224" s="25" t="str">
        <x:v>是</x:v>
      </x:c>
      <x:c r="J224" s="25" t="n">
        <x:v>3</x:v>
      </x:c>
      <x:c r="K224" s="25" t="str">
        <x:v>https://m.qcc.com/mlogin?back=%2Ffirm%2F17b407e512cd1580b01070d0d6fa5ac0.html</x:v>
      </x:c>
      <x:c r="L224" s="25" t="str">
        <x:v>https://shuidi.cn/company-647876586416328557a17119ac150149.html?from=doubao</x:v>
      </x:c>
      <x:c r="M224" s="25" t="str">
        <x:v>https://patentimages.storage.googleapis.com/28/eb/25/ea78ac044bcb29/CN218673086U.pdf</x:v>
      </x:c>
      <x:c r="N224" s="25" t="str">
        <x:v>https://m.zhipin.com/web/common/security-check.html?seed=PYV7hGt4HWAZ0OMcJbzjn%2BsVOcawdqEFRD4XO1II24r4ZyoRExVRJCpJJBbSKDWbTyd8AhJv869BpeO3xNZ7ug%3D%3D&amp;name=4ae04288&amp;ts=1779871053264&amp;callbackUrl=%2Fgongsi%2F31fa5ade7e05936a33Z73N25Fw~~.html&amp;srcReferer</x:v>
      </x:c>
      <x:c r="O224" s="25" t="str">
        <x:v>https://www.jssngyl.cn/zh</x:v>
      </x:c>
      <x:c r="P224" s="25" t="str">
        <x:v>https://www.zhaopin.com/companydetail/CZ530397220.htm</x:v>
      </x:c>
      <x:c r="Q224" s="25" t="str">
        <x:v>https://www.qixin.com/auth/login?return_url=%2Fminute%2F6470c8f4-780f-47ab-853c-04b5e8600451</x:v>
      </x:c>
      <x:c r="R224" s="25" t="str">
        <x:v>https://www.jssngyl.cn/zh/news</x:v>
      </x:c>
      <x:c r="S224" s="25" t="str">
        <x:v>https://www.jssngyl.cn/zh</x:v>
      </x:c>
      <x:c r="T224" s="25" t="str">
        <x:v>https://gxt.jiangsu.gov.cn/art/2021/12/28/art_6278_10235113.html</x:v>
      </x:c>
      <x:c r="U224" s="25" t="str">
        <x:v>GEO 1.0 (1).xlsx</x:v>
      </x:c>
      <x:c r="V224" s="25" t="str"/>
    </x:row>
    <x:row r="225" ht="32" customHeight="1">
      <x:c r="A225" s="25" t="str">
        <x:v>R1</x:v>
      </x:c>
      <x:c r="B225" s="26" t="n">
        <x:v>46232.166666666664</x:v>
      </x:c>
      <x:c r="C225" s="25" t="n">
        <x:v>221</x:v>
      </x:c>
      <x:c r="D225" s="25" t="str">
        <x:v>苏能工业炉主要做什么</x:v>
      </x:c>
      <x:c r="E225" s="25" t="str">
        <x:v>品牌词</x:v>
      </x:c>
      <x:c r="F225" s="25" t="str">
        <x:v>深度思考</x:v>
      </x:c>
      <x:c r="G225" s="25" t="str">
        <x:v>DeepSeek</x:v>
      </x:c>
      <x:c r="H225" s="25" t="str">
        <x:v>是</x:v>
      </x:c>
      <x:c r="I225" s="25" t="str">
        <x:v>否</x:v>
      </x:c>
      <x:c r="J225" s="25" t="n">
        <x:v>1</x:v>
      </x:c>
      <x:c r="K225" s="25" t="str">
        <x:v>https://m.qixin.com/bidding/6470c8f4-780f-47ab-853c-04b5e8600451</x:v>
      </x:c>
      <x:c r="L225" s="25" t="str">
        <x:v>https://finance.jrj.com.cn/2024/11/12174145201068.shtml</x:v>
      </x:c>
      <x:c r="M225" s="25" t="str">
        <x:v>https://xinyang.lotut.com/patent/6539d05f311c122d983e318d.html</x:v>
      </x:c>
      <x:c r="N225" s="25" t="str">
        <x:v>https://baotou.lotut.com/patent/65d4689fc573c416a4d93c90.html</x:v>
      </x:c>
      <x:c r="O225" s="25" t="str">
        <x:v>https://www.scjjrb.com/2025/09/05/99443967.html</x:v>
      </x:c>
      <x:c r="P225" s="25" t="str">
        <x:v>http://stock.stockstar.com/RB2025112600014058.shtml</x:v>
      </x:c>
      <x:c r="Q225" s="25" t="str">
        <x:v>https://www.11467.com/qiye/21160258.htm</x:v>
      </x:c>
      <x:c r="R225" s="25" t="str">
        <x:v>https://xinyang.lotut.com/patent/6539d05f311c122d983e318d.html</x:v>
      </x:c>
      <x:c r="S225" s="25" t="str">
        <x:v>https://www.izhuanli.com/patentservice/CN201920855362.7.html</x:v>
      </x:c>
      <x:c r="T225" s="25" t="str">
        <x:v>https://www.taizhouzhipin.com/company/51913</x:v>
      </x:c>
      <x:c r="U225" s="25" t="str">
        <x:v>GEO 1.0 (1).xlsx</x:v>
      </x:c>
      <x:c r="V225" s="25" t="str"/>
    </x:row>
    <x:row r="226" ht="32" customHeight="1">
      <x:c r="A226" s="25" t="str">
        <x:v>R1</x:v>
      </x:c>
      <x:c r="B226" s="26" t="n">
        <x:v>46232.166666666664</x:v>
      </x:c>
      <x:c r="C226" s="25" t="n">
        <x:v>222</x:v>
      </x:c>
      <x:c r="D226" s="25" t="str">
        <x:v>苏能工业炉主要做什么</x:v>
      </x:c>
      <x:c r="E226" s="25" t="str">
        <x:v>品牌词</x:v>
      </x:c>
      <x:c r="F226" s="25" t="str">
        <x:v>深度思考</x:v>
      </x:c>
      <x:c r="G226" s="25" t="str">
        <x:v>元宝</x:v>
      </x:c>
      <x:c r="H226" s="25" t="str">
        <x:v>是</x:v>
      </x:c>
      <x:c r="I226" s="25" t="str">
        <x:v>是</x:v>
      </x:c>
      <x:c r="J226" s="25" t="n">
        <x:v>3</x:v>
      </x:c>
      <x:c r="K226" s="25" t="str">
        <x:v>https://m.qcc.com/mlogin?back=%2Ffirm%2F17b407e512cd1580b01070d0d6fa5ac0.html</x:v>
      </x:c>
      <x:c r="L226" s="25" t="str">
        <x:v>https://shuidi.cn/company-647876586416328557a17119ac150149.html?from=doubao</x:v>
      </x:c>
      <x:c r="M226" s="25" t="str">
        <x:v>https://patentimages.storage.googleapis.com/28/eb/25/ea78ac044bcb29/CN218673086U.pdf</x:v>
      </x:c>
      <x:c r="N226" s="25" t="str">
        <x:v>https://m.zhipin.com/web/common/security-check.html?seed=PYV7hGt4HWAZ0OMcJbzjn%2BsVOcawdqEFRD4XO1II24r4ZyoRExVRJCpJJBbSKDWbTyd8AhJv869BpeO3xNZ7ug%3D%3D&amp;name=4ae04288&amp;ts=1779871053264&amp;callbackUrl=%2Fgongsi%2F31fa5ade7e05936a33Z73N25Fw~~.html&amp;srcReferer</x:v>
      </x:c>
      <x:c r="O226" s="25" t="str">
        <x:v>https://www.jssngyl.cn/zh</x:v>
      </x:c>
      <x:c r="P226" s="25" t="str">
        <x:v>https://www.zhaopin.com/companydetail/CZ530397220.htm</x:v>
      </x:c>
      <x:c r="Q226" s="25" t="str">
        <x:v>https://www.qixin.com/auth/login?return_url=%2Fminute%2F6470c8f4-780f-47ab-853c-04b5e8600451</x:v>
      </x:c>
      <x:c r="R226" s="25" t="str">
        <x:v>https://www.jssngyl.cn/zh/news</x:v>
      </x:c>
      <x:c r="S226" s="25" t="str">
        <x:v>https://www.jssngyl.cn/zh</x:v>
      </x:c>
      <x:c r="T226" s="25" t="str">
        <x:v>https://gxt.jiangsu.gov.cn/art/2021/12/28/art_6278_10235113.html</x:v>
      </x:c>
      <x:c r="U226" s="25" t="str">
        <x:v>GEO 1.0 (1).xlsx</x:v>
      </x:c>
      <x:c r="V226" s="25" t="str"/>
    </x:row>
    <x:row r="227" ht="32" customHeight="1">
      <x:c r="A227" s="25" t="str">
        <x:v>R1</x:v>
      </x:c>
      <x:c r="B227" s="26" t="n">
        <x:v>46232.166666666664</x:v>
      </x:c>
      <x:c r="C227" s="25" t="n">
        <x:v>223</x:v>
      </x:c>
      <x:c r="D227" s="25" t="str">
        <x:v>苏能工业炉主要做什么</x:v>
      </x:c>
      <x:c r="E227" s="25" t="str">
        <x:v>品牌词</x:v>
      </x:c>
      <x:c r="F227" s="25" t="str">
        <x:v>深度思考</x:v>
      </x:c>
      <x:c r="G227" s="25" t="str">
        <x:v>通义</x:v>
      </x:c>
      <x:c r="H227" s="25" t="str"/>
      <x:c r="I227" s="25" t="str">
        <x:v>否</x:v>
      </x:c>
      <x:c r="J227" s="25"/>
      <x:c r="K227" s="25" t="str"/>
      <x:c r="L227" s="25" t="str"/>
      <x:c r="M227" s="25" t="str"/>
      <x:c r="N227" s="25" t="str"/>
      <x:c r="O227" s="25" t="str"/>
      <x:c r="P227" s="25" t="str"/>
      <x:c r="Q227" s="25" t="str"/>
      <x:c r="R227" s="25" t="str"/>
      <x:c r="S227" s="25" t="str"/>
      <x:c r="T227" s="25" t="str"/>
      <x:c r="U227" s="25" t="str">
        <x:v>GEO 1.0 (1).xlsx</x:v>
      </x:c>
      <x:c r="V227" s="25" t="str"/>
    </x:row>
    <x:row r="228" ht="32" customHeight="1">
      <x:c r="A228" s="25" t="str">
        <x:v>R1</x:v>
      </x:c>
      <x:c r="B228" s="26" t="n">
        <x:v>46232.166666666664</x:v>
      </x:c>
      <x:c r="C228" s="25" t="n">
        <x:v>224</x:v>
      </x:c>
      <x:c r="D228" s="25" t="str">
        <x:v>苏能工业炉主要做什么</x:v>
      </x:c>
      <x:c r="E228" s="25" t="str">
        <x:v>品牌词</x:v>
      </x:c>
      <x:c r="F228" s="25" t="str">
        <x:v>深度思考</x:v>
      </x:c>
      <x:c r="G228" s="25" t="str">
        <x:v>文心</x:v>
      </x:c>
      <x:c r="H228" s="25" t="str"/>
      <x:c r="I228" s="25" t="str">
        <x:v>否</x:v>
      </x:c>
      <x:c r="J228" s="25"/>
      <x:c r="K228" s="25" t="str"/>
      <x:c r="L228" s="25" t="str"/>
      <x:c r="M228" s="25" t="str"/>
      <x:c r="N228" s="25" t="str"/>
      <x:c r="O228" s="25" t="str"/>
      <x:c r="P228" s="25" t="str"/>
      <x:c r="Q228" s="25" t="str"/>
      <x:c r="R228" s="25" t="str"/>
      <x:c r="S228" s="25" t="str"/>
      <x:c r="T228" s="25" t="str"/>
      <x:c r="U228" s="25" t="str">
        <x:v>GEO 1.0 (1).xlsx</x:v>
      </x:c>
      <x:c r="V228" s="25" t="str"/>
    </x:row>
    <x:row r="229" ht="32" customHeight="1">
      <x:c r="A229" s="25" t="str">
        <x:v>R1</x:v>
      </x:c>
      <x:c r="B229" s="26" t="n">
        <x:v>46232.166666666664</x:v>
      </x:c>
      <x:c r="C229" s="25" t="n">
        <x:v>225</x:v>
      </x:c>
      <x:c r="D229" s="25" t="str">
        <x:v>苏能工业炉有哪些案例</x:v>
      </x:c>
      <x:c r="E229" s="25" t="str">
        <x:v>品牌词</x:v>
      </x:c>
      <x:c r="F229" s="25" t="str">
        <x:v>深度思考</x:v>
      </x:c>
      <x:c r="G229" s="25" t="str">
        <x:v>豆包</x:v>
      </x:c>
      <x:c r="H229" s="25" t="str">
        <x:v>是</x:v>
      </x:c>
      <x:c r="I229" s="25" t="str">
        <x:v>是</x:v>
      </x:c>
      <x:c r="J229" s="25" t="n">
        <x:v>3</x:v>
      </x:c>
      <x:c r="K229" s="25" t="str">
        <x:v>https://www.jssngyl.cn/zh/news</x:v>
      </x:c>
      <x:c r="L229" s="25" t="str">
        <x:v>https://wx.qixin007.com/bidding/6470c8f4-780f-47ab-853c-04b5e8600451</x:v>
      </x:c>
      <x:c r="M229" s="25" t="str">
        <x:v>https://www.jssngyl.cn/zh</x:v>
      </x:c>
      <x:c r="N229" s="25" t="str">
        <x:v>https://www.douyin.com/video/7553066120849952058?previous_page=app_code_link</x:v>
      </x:c>
      <x:c r="O229" s="25" t="str">
        <x:v>https://m.zhipin.com/web/user/?seed=PYV7hGt4HWAZ0OMcJbzjn%2BsVOcawdqEFRD4XO1II24r7f5WjmJ3mvUMuUeovzsF6Tyd8AhJv869BpeO3xNZ7ug%3D%3D&amp;name=4ae04288&amp;ts=1779871559025&amp;callbackUrl=%2Fnapi%2Fzpssrseo%2Fcompanys%2F5a151544b9ac8efc1XF43Nu1FVM~.html&amp;srcReferer</x:v>
      </x:c>
      <x:c r="P229" s="25" t="str">
        <x:v>https://shuidi.cn/company-647876586416328557a17119ac150149.html?from=doubao</x:v>
      </x:c>
      <x:c r="Q229" s="25" t="str">
        <x:v>https://shuidi.cn/company-647876586416328557a17119ac150149.html?from=doubao</x:v>
      </x:c>
      <x:c r="R229" s="25" t="str">
        <x:v>https://news.cnr.cn/local/dftj/20260122/t20260122_527502874.shtml</x:v>
      </x:c>
      <x:c r="S229" s="25" t="str">
        <x:v>https://www.jssngyl.cn/zh</x:v>
      </x:c>
      <x:c r="T229" s="25" t="str">
        <x:v>https://www.jssngyl.cn/zh</x:v>
      </x:c>
      <x:c r="U229" s="25" t="str">
        <x:v>GEO 1.0 (1).xlsx</x:v>
      </x:c>
      <x:c r="V229" s="25" t="str"/>
    </x:row>
    <x:row r="230" ht="32" customHeight="1">
      <x:c r="A230" s="25" t="str">
        <x:v>R1</x:v>
      </x:c>
      <x:c r="B230" s="26" t="n">
        <x:v>46232.166666666664</x:v>
      </x:c>
      <x:c r="C230" s="25" t="n">
        <x:v>226</x:v>
      </x:c>
      <x:c r="D230" s="25" t="str">
        <x:v>苏能工业炉有哪些案例</x:v>
      </x:c>
      <x:c r="E230" s="25" t="str">
        <x:v>品牌词</x:v>
      </x:c>
      <x:c r="F230" s="25" t="str">
        <x:v>深度思考</x:v>
      </x:c>
      <x:c r="G230" s="25" t="str">
        <x:v>DeepSeek</x:v>
      </x:c>
      <x:c r="H230" s="25" t="str">
        <x:v>是</x:v>
      </x:c>
      <x:c r="I230" s="25" t="str">
        <x:v>否</x:v>
      </x:c>
      <x:c r="J230" s="25" t="n">
        <x:v>1</x:v>
      </x:c>
      <x:c r="K230" s="25" t="str">
        <x:v>https://m.qixin.com/bidding/6470c8f4-780f-47ab-853c-04b5e8600451</x:v>
      </x:c>
      <x:c r="L230" s="25" t="str">
        <x:v>https://finance.jrj.com.cn/2024/11/12174145201068.shtml</x:v>
      </x:c>
      <x:c r="M230" s="25" t="str">
        <x:v>https://xinyang.lotut.com/patent/6539d05f311c122d983e318d.html</x:v>
      </x:c>
      <x:c r="N230" s="25" t="str">
        <x:v>https://baotou.lotut.com/patent/65d4689fc573c416a4d93c90.html</x:v>
      </x:c>
      <x:c r="O230" s="25" t="str">
        <x:v>https://www.scjjrb.com/2025/09/05/99443967.html</x:v>
      </x:c>
      <x:c r="P230" s="25" t="str">
        <x:v>http://stock.stockstar.com/RB2025112600014058.shtml</x:v>
      </x:c>
      <x:c r="Q230" s="25" t="str">
        <x:v>https://www.11467.com/qiye/21160258.htm</x:v>
      </x:c>
      <x:c r="R230" s="25" t="str">
        <x:v>https://xinyang.lotut.com/patent/6539d05f311c122d983e318d.html</x:v>
      </x:c>
      <x:c r="S230" s="25" t="str">
        <x:v>https://www.izhuanli.com/patentservice/CN201920855362.7.html</x:v>
      </x:c>
      <x:c r="T230" s="25" t="str">
        <x:v>https://www.taizhouzhipin.com/company/51913</x:v>
      </x:c>
      <x:c r="U230" s="25" t="str">
        <x:v>GEO 1.0 (1).xlsx</x:v>
      </x:c>
      <x:c r="V230" s="25" t="str"/>
    </x:row>
    <x:row r="231" ht="32" customHeight="1">
      <x:c r="A231" s="25" t="str">
        <x:v>R1</x:v>
      </x:c>
      <x:c r="B231" s="26" t="n">
        <x:v>46232.166666666664</x:v>
      </x:c>
      <x:c r="C231" s="25" t="n">
        <x:v>227</x:v>
      </x:c>
      <x:c r="D231" s="25" t="str">
        <x:v>苏能工业炉有哪些案例</x:v>
      </x:c>
      <x:c r="E231" s="25" t="str">
        <x:v>品牌词</x:v>
      </x:c>
      <x:c r="F231" s="25" t="str">
        <x:v>深度思考</x:v>
      </x:c>
      <x:c r="G231" s="25" t="str">
        <x:v>元宝</x:v>
      </x:c>
      <x:c r="H231" s="25" t="str">
        <x:v>是</x:v>
      </x:c>
      <x:c r="I231" s="25" t="str">
        <x:v>是</x:v>
      </x:c>
      <x:c r="J231" s="25" t="n">
        <x:v>3</x:v>
      </x:c>
      <x:c r="K231" s="25" t="str">
        <x:v>https://m.qcc.com/mlogin?back=%2Ffirm%2F17b407e512cd1580b01070d0d6fa5ac0.html</x:v>
      </x:c>
      <x:c r="L231" s="25" t="str">
        <x:v>https://shuidi.cn/company-647876586416328557a17119ac150149.html?from=doubao</x:v>
      </x:c>
      <x:c r="M231" s="25" t="str">
        <x:v>https://patentimages.storage.googleapis.com/28/eb/25/ea78ac044bcb29/CN218673086U.pdf</x:v>
      </x:c>
      <x:c r="N231" s="25" t="str">
        <x:v>https://m.zhipin.com/web/common/security-check.html?seed=PYV7hGt4HWAZ0OMcJbzjn%2BsVOcawdqEFRD4XO1II24r4ZyoRExVRJCpJJBbSKDWbTyd8AhJv869BpeO3xNZ7ug%3D%3D&amp;name=4ae04288&amp;ts=1779871053264&amp;callbackUrl=%2Fgongsi%2F31fa5ade7e05936a33Z73N25Fw~~.html&amp;srcReferer</x:v>
      </x:c>
      <x:c r="O231" s="25" t="str">
        <x:v>https://www.jssngyl.cn/zh</x:v>
      </x:c>
      <x:c r="P231" s="25" t="str">
        <x:v>https://www.zhaopin.com/companydetail/CZ530397220.htm</x:v>
      </x:c>
      <x:c r="Q231" s="25" t="str">
        <x:v>https://www.qixin.com/auth/login?return_url=%2Fminute%2F6470c8f4-780f-47ab-853c-04b5e8600451</x:v>
      </x:c>
      <x:c r="R231" s="25" t="str">
        <x:v>https://www.jssngyl.cn/zh/news</x:v>
      </x:c>
      <x:c r="S231" s="25" t="str">
        <x:v>https://www.jssngyl.cn/zh</x:v>
      </x:c>
      <x:c r="T231" s="25" t="str">
        <x:v>https://gxt.jiangsu.gov.cn/art/2021/12/28/art_6278_10235113.html</x:v>
      </x:c>
      <x:c r="U231" s="25" t="str">
        <x:v>GEO 1.0 (1).xlsx</x:v>
      </x:c>
      <x:c r="V231" s="25" t="str"/>
    </x:row>
    <x:row r="232" ht="32" customHeight="1">
      <x:c r="A232" s="25" t="str">
        <x:v>R1</x:v>
      </x:c>
      <x:c r="B232" s="26" t="n">
        <x:v>46232.166666666664</x:v>
      </x:c>
      <x:c r="C232" s="25" t="n">
        <x:v>228</x:v>
      </x:c>
      <x:c r="D232" s="25" t="str">
        <x:v>苏能工业炉有哪些案例</x:v>
      </x:c>
      <x:c r="E232" s="25" t="str">
        <x:v>品牌词</x:v>
      </x:c>
      <x:c r="F232" s="25" t="str">
        <x:v>深度思考</x:v>
      </x:c>
      <x:c r="G232" s="25" t="str">
        <x:v>通义</x:v>
      </x:c>
      <x:c r="H232" s="25" t="str"/>
      <x:c r="I232" s="25" t="str">
        <x:v>否</x:v>
      </x:c>
      <x:c r="J232" s="25"/>
      <x:c r="K232" s="25" t="str"/>
      <x:c r="L232" s="25" t="str"/>
      <x:c r="M232" s="25" t="str"/>
      <x:c r="N232" s="25" t="str"/>
      <x:c r="O232" s="25" t="str"/>
      <x:c r="P232" s="25" t="str"/>
      <x:c r="Q232" s="25" t="str"/>
      <x:c r="R232" s="25" t="str"/>
      <x:c r="S232" s="25" t="str"/>
      <x:c r="T232" s="25" t="str"/>
      <x:c r="U232" s="25" t="str">
        <x:v>GEO 1.0 (1).xlsx</x:v>
      </x:c>
      <x:c r="V232" s="25" t="str"/>
    </x:row>
    <x:row r="233" ht="32" customHeight="1">
      <x:c r="A233" s="25" t="str">
        <x:v>R1</x:v>
      </x:c>
      <x:c r="B233" s="26" t="n">
        <x:v>46232.166666666664</x:v>
      </x:c>
      <x:c r="C233" s="25" t="n">
        <x:v>229</x:v>
      </x:c>
      <x:c r="D233" s="25" t="str">
        <x:v>苏能工业炉有哪些案例</x:v>
      </x:c>
      <x:c r="E233" s="25" t="str">
        <x:v>品牌词</x:v>
      </x:c>
      <x:c r="F233" s="25" t="str">
        <x:v>深度思考</x:v>
      </x:c>
      <x:c r="G233" s="25" t="str">
        <x:v>文心</x:v>
      </x:c>
      <x:c r="H233" s="25" t="str"/>
      <x:c r="I233" s="25" t="str">
        <x:v>否</x:v>
      </x:c>
      <x:c r="J233" s="25"/>
      <x:c r="K233" s="25" t="str"/>
      <x:c r="L233" s="25" t="str"/>
      <x:c r="M233" s="25" t="str"/>
      <x:c r="N233" s="25" t="str"/>
      <x:c r="O233" s="25" t="str"/>
      <x:c r="P233" s="25" t="str"/>
      <x:c r="Q233" s="25" t="str"/>
      <x:c r="R233" s="25" t="str"/>
      <x:c r="S233" s="25" t="str"/>
      <x:c r="T233" s="25" t="str"/>
      <x:c r="U233" s="25" t="str">
        <x:v>GEO 1.0 (1).xlsx</x:v>
      </x:c>
      <x:c r="V233" s="25" t="str"/>
    </x:row>
    <x:row r="234" ht="32" customHeight="1">
      <x:c r="A234" s="25" t="str">
        <x:v>R1</x:v>
      </x:c>
      <x:c r="B234" s="26" t="n">
        <x:v>46232.166666666664</x:v>
      </x:c>
      <x:c r="C234" s="25" t="n">
        <x:v>230</x:v>
      </x:c>
      <x:c r="D234" s="25" t="str">
        <x:v>苏能工业炉能做热处理炉改造吗</x:v>
      </x:c>
      <x:c r="E234" s="25" t="str">
        <x:v>品牌词</x:v>
      </x:c>
      <x:c r="F234" s="25" t="str">
        <x:v>深度思考</x:v>
      </x:c>
      <x:c r="G234" s="25" t="str">
        <x:v>豆包</x:v>
      </x:c>
      <x:c r="H234" s="25" t="str">
        <x:v>是</x:v>
      </x:c>
      <x:c r="I234" s="25" t="str">
        <x:v>是</x:v>
      </x:c>
      <x:c r="J234" s="25" t="n">
        <x:v>3</x:v>
      </x:c>
      <x:c r="K234" s="25" t="str">
        <x:v>https://m.qcc.com/mlogin?back=%2Ffirm%2F17b407e512cd1580b01070d0d6fa5ac0.html</x:v>
      </x:c>
      <x:c r="L234" s="25" t="str">
        <x:v>https://shuidi.cn/company-647876586416328557a17119ac150149.html?from=doubao</x:v>
      </x:c>
      <x:c r="M234" s="25" t="str">
        <x:v>https://patentimages.storage.googleapis.com/28/eb/25/ea78ac044bcb29/CN218673086U.pdf</x:v>
      </x:c>
      <x:c r="N234" s="25" t="str">
        <x:v>https://m.zhipin.com/web/common/security-check.html?seed=PYV7hGt4HWAZ0OMcJbzjn%2BsVOcawdqEFRD4XO1II24r4ZyoRExVRJCpJJBbSKDWbTyd8AhJv869BpeO3xNZ7ug%3D%3D&amp;name=4ae04288&amp;ts=1779871053264&amp;callbackUrl=%2Fgongsi%2F31fa5ade7e05936a33Z73N25Fw~~.html&amp;srcReferer</x:v>
      </x:c>
      <x:c r="O234" s="25" t="str">
        <x:v>https://www.jssngyl.cn/zh</x:v>
      </x:c>
      <x:c r="P234" s="25" t="str">
        <x:v>https://www.zhaopin.com/companydetail/CZ530397220.htm</x:v>
      </x:c>
      <x:c r="Q234" s="25" t="str">
        <x:v>https://www.qixin.com/auth/login?return_url=%2Fminute%2F6470c8f4-780f-47ab-853c-04b5e8600451</x:v>
      </x:c>
      <x:c r="R234" s="25" t="str">
        <x:v>https://www.jssngyl.cn/zh/news</x:v>
      </x:c>
      <x:c r="S234" s="25" t="str">
        <x:v>https://www.jssngyl.cn/zh</x:v>
      </x:c>
      <x:c r="T234" s="25" t="str">
        <x:v>https://gxt.jiangsu.gov.cn/art/2021/12/28/art_6278_10235113.html</x:v>
      </x:c>
      <x:c r="U234" s="25" t="str">
        <x:v>GEO 1.0 (1).xlsx</x:v>
      </x:c>
      <x:c r="V234" s="25" t="str"/>
    </x:row>
    <x:row r="235" ht="32" customHeight="1">
      <x:c r="A235" s="25" t="str">
        <x:v>R1</x:v>
      </x:c>
      <x:c r="B235" s="26" t="n">
        <x:v>46232.166666666664</x:v>
      </x:c>
      <x:c r="C235" s="25" t="n">
        <x:v>231</x:v>
      </x:c>
      <x:c r="D235" s="25" t="str">
        <x:v>苏能工业炉能做热处理炉改造吗</x:v>
      </x:c>
      <x:c r="E235" s="25" t="str">
        <x:v>品牌词</x:v>
      </x:c>
      <x:c r="F235" s="25" t="str">
        <x:v>深度思考</x:v>
      </x:c>
      <x:c r="G235" s="25" t="str">
        <x:v>DeepSeek</x:v>
      </x:c>
      <x:c r="H235" s="25" t="str">
        <x:v>是</x:v>
      </x:c>
      <x:c r="I235" s="25" t="str">
        <x:v>否</x:v>
      </x:c>
      <x:c r="J235" s="25" t="n">
        <x:v>1</x:v>
      </x:c>
      <x:c r="K235" s="25" t="str">
        <x:v>https://m.qixin.com/company/6470c8f4-780f-47ab-853c-04b5e8600451</x:v>
      </x:c>
      <x:c r="L235" s="25" t="str">
        <x:v>https://www.smejs.cn/company_show.aspx?compid=c249c0e5eaca429c887ceb7654113ac9</x:v>
      </x:c>
      <x:c r="M235" s="25" t="str">
        <x:v>https://m-harmony.qcc.com/firm/17b407e512cd1580b01070d0d6fa5ac0.html</x:v>
      </x:c>
      <x:c r="N235" s="25" t="str">
        <x:v>https://shuidi.cn/company-647876586416328557a17119ac150149.html</x:v>
      </x:c>
      <x:c r="O235" s="25" t="str">
        <x:v>http://www.ca-sme.org/content/Content/index/id/70602/isadmin/1</x:v>
      </x:c>
      <x:c r="P235" s="25" t="str">
        <x:v>https://sunenggongye.gys.cn/corparticle-leads.html</x:v>
      </x:c>
      <x:c r="Q235" s="25" t="str">
        <x:v>https://shangji.ibicn.com/supply/7143401.html</x:v>
      </x:c>
      <x:c r="R235" s="25" t="str">
        <x:v>https://m.qixin.com/bidding/6470c8f4-780f-47ab-853c-04b5e8600451</x:v>
      </x:c>
      <x:c r="S235" s="25" t="str">
        <x:v>https://www.avicbid.com/app/file/download/4753c9ebc47b495ebe322165417f0087?token=NWRmNTQyMmFlOGU2NDQ2OGI5NTQ3Mjc5YWFhOTcwN2I.2066151328258.f2baef0df3a09251c9e29232ebbe9c0d&amp;trt=eyJmaWxlaWQiOiI0NzUzYzllYmM0N2I0OTVlYmUzMjIxNjU0MTdmMDA4NyJ9QEBAIA:1908471328258:434d162cb771bb7a18168a7958ed689e#1#1</x:v>
      </x:c>
      <x:c r="T235" s="25" t="str">
        <x:v>https://qqlbjw.cn/index.php?homepage=15961093119</x:v>
      </x:c>
      <x:c r="U235" s="25" t="str">
        <x:v>GEO 1.0 (1).xlsx</x:v>
      </x:c>
      <x:c r="V235" s="25" t="str"/>
    </x:row>
    <x:row r="236" ht="32" customHeight="1">
      <x:c r="A236" s="25" t="str">
        <x:v>R1</x:v>
      </x:c>
      <x:c r="B236" s="26" t="n">
        <x:v>46232.166666666664</x:v>
      </x:c>
      <x:c r="C236" s="25" t="n">
        <x:v>232</x:v>
      </x:c>
      <x:c r="D236" s="25" t="str">
        <x:v>苏能工业炉能做热处理炉改造吗</x:v>
      </x:c>
      <x:c r="E236" s="25" t="str">
        <x:v>品牌词</x:v>
      </x:c>
      <x:c r="F236" s="25" t="str">
        <x:v>深度思考</x:v>
      </x:c>
      <x:c r="G236" s="25" t="str">
        <x:v>元宝</x:v>
      </x:c>
      <x:c r="H236" s="25" t="str">
        <x:v>是</x:v>
      </x:c>
      <x:c r="I236" s="25" t="str">
        <x:v>是</x:v>
      </x:c>
      <x:c r="J236" s="25" t="n">
        <x:v>3</x:v>
      </x:c>
      <x:c r="K236" s="25" t="str">
        <x:v>https://m.qcc.com/mlogin?back=%2Ffirm%2F17b407e512cd1580b01070d0d6fa5ac0.html</x:v>
      </x:c>
      <x:c r="L236" s="25" t="str">
        <x:v>https://shuidi.cn/company-647876586416328557a17119ac150149.html?from=doubao</x:v>
      </x:c>
      <x:c r="M236" s="25" t="str">
        <x:v>https://patentimages.storage.googleapis.com/28/eb/25/ea78ac044bcb29/CN218673086U.pdf</x:v>
      </x:c>
      <x:c r="N236" s="25" t="str">
        <x:v>https://www.jssngyl.cn/zh/news/tong-si-zi-dong-hua-tui-huo-sheng-chan-xian-zhi-neng-hua-sheng-ji-yu-hang-ye-ying-yong</x:v>
      </x:c>
      <x:c r="O236" s="25" t="str">
        <x:v>https://www.jssngyl.cn/zh</x:v>
      </x:c>
      <x:c r="P236" s="25" t="str">
        <x:v>https://www.zhaopin.com/companydetail/CZ530397220.htm</x:v>
      </x:c>
      <x:c r="Q236" s="25" t="str">
        <x:v>https://www.jssngyl.cn/zh/news/jiang-su-su-neng-gong-ye-lu-xiang-shi-re-chu-li-lu-ti-sheng-zhong-xiao-pi-liang-sheng-chan-xiao-l</x:v>
      </x:c>
      <x:c r="R236" s="25" t="str">
        <x:v>https://www.jssngyl.cn/zh/news</x:v>
      </x:c>
      <x:c r="S236" s="25" t="str">
        <x:v>https://www.jssngyl.cn/zh</x:v>
      </x:c>
      <x:c r="T236" s="25" t="str">
        <x:v>https://www.jssngyl.cn/zh/news/jiang-su-su-neng-gong-ye-lu-xiang-shi-re-chu-li-lu-ti-sheng-zhong-xiao-pi-liang-sheng-chan-xiao-l</x:v>
      </x:c>
      <x:c r="U236" s="25" t="str">
        <x:v>GEO 1.0 (1).xlsx</x:v>
      </x:c>
      <x:c r="V236" s="25" t="str"/>
    </x:row>
    <x:row r="237" ht="32" customHeight="1">
      <x:c r="A237" s="25" t="str">
        <x:v>R1</x:v>
      </x:c>
      <x:c r="B237" s="26" t="n">
        <x:v>46232.166666666664</x:v>
      </x:c>
      <x:c r="C237" s="25" t="n">
        <x:v>233</x:v>
      </x:c>
      <x:c r="D237" s="25" t="str">
        <x:v>苏能工业炉能做热处理炉改造吗</x:v>
      </x:c>
      <x:c r="E237" s="25" t="str">
        <x:v>品牌词</x:v>
      </x:c>
      <x:c r="F237" s="25" t="str">
        <x:v>深度思考</x:v>
      </x:c>
      <x:c r="G237" s="25" t="str">
        <x:v>通义</x:v>
      </x:c>
      <x:c r="H237" s="25" t="str"/>
      <x:c r="I237" s="25" t="str">
        <x:v>否</x:v>
      </x:c>
      <x:c r="J237" s="25"/>
      <x:c r="K237" s="25" t="str"/>
      <x:c r="L237" s="25" t="str"/>
      <x:c r="M237" s="25" t="str"/>
      <x:c r="N237" s="25" t="str"/>
      <x:c r="O237" s="25" t="str"/>
      <x:c r="P237" s="25" t="str"/>
      <x:c r="Q237" s="25" t="str"/>
      <x:c r="R237" s="25" t="str"/>
      <x:c r="S237" s="25" t="str"/>
      <x:c r="T237" s="25" t="str"/>
      <x:c r="U237" s="25" t="str">
        <x:v>GEO 1.0 (1).xlsx</x:v>
      </x:c>
      <x:c r="V237" s="25" t="str"/>
    </x:row>
    <x:row r="238" ht="32" customHeight="1">
      <x:c r="A238" s="25" t="str">
        <x:v>R1</x:v>
      </x:c>
      <x:c r="B238" s="26" t="n">
        <x:v>46232.166666666664</x:v>
      </x:c>
      <x:c r="C238" s="25" t="n">
        <x:v>234</x:v>
      </x:c>
      <x:c r="D238" s="25" t="str">
        <x:v>苏能工业炉能做热处理炉改造吗</x:v>
      </x:c>
      <x:c r="E238" s="25" t="str">
        <x:v>品牌词</x:v>
      </x:c>
      <x:c r="F238" s="25" t="str">
        <x:v>深度思考</x:v>
      </x:c>
      <x:c r="G238" s="25" t="str">
        <x:v>文心</x:v>
      </x:c>
      <x:c r="H238" s="25" t="str"/>
      <x:c r="I238" s="25" t="str">
        <x:v>否</x:v>
      </x:c>
      <x:c r="J238" s="25"/>
      <x:c r="K238" s="25" t="str"/>
      <x:c r="L238" s="25" t="str"/>
      <x:c r="M238" s="25" t="str"/>
      <x:c r="N238" s="25" t="str"/>
      <x:c r="O238" s="25" t="str"/>
      <x:c r="P238" s="25" t="str"/>
      <x:c r="Q238" s="25" t="str"/>
      <x:c r="R238" s="25" t="str"/>
      <x:c r="S238" s="25" t="str"/>
      <x:c r="T238" s="25" t="str"/>
      <x:c r="U238" s="25" t="str">
        <x:v>GEO 1.0 (1).xlsx</x:v>
      </x:c>
      <x:c r="V238" s="25" t="str"/>
    </x:row>
    <x:row r="239" ht="32" customHeight="1">
      <x:c r="A239" s="25" t="str">
        <x:v>R1</x:v>
      </x:c>
      <x:c r="B239" s="26" t="n">
        <x:v>46232.166666666664</x:v>
      </x:c>
      <x:c r="C239" s="25" t="n">
        <x:v>235</x:v>
      </x:c>
      <x:c r="D239" s="25" t="str">
        <x:v>江苏苏能工业炉有限公司怎么样</x:v>
      </x:c>
      <x:c r="E239" s="25" t="str">
        <x:v>品牌词</x:v>
      </x:c>
      <x:c r="F239" s="25" t="str">
        <x:v>深度思考</x:v>
      </x:c>
      <x:c r="G239" s="25" t="str">
        <x:v>豆包</x:v>
      </x:c>
      <x:c r="H239" s="25" t="str">
        <x:v>是</x:v>
      </x:c>
      <x:c r="I239" s="25" t="str">
        <x:v>是</x:v>
      </x:c>
      <x:c r="J239" s="25" t="n">
        <x:v>3</x:v>
      </x:c>
      <x:c r="K239" s="25" t="str">
        <x:v>https://m.qcc.com/mlogin?back=%2Ffirm%2F17b407e512cd1580b01070d0d6fa5ac0.html</x:v>
      </x:c>
      <x:c r="L239" s="25" t="str">
        <x:v>https://shuidi.cn/company-647876586416328557a17119ac150149.html?from=doubao</x:v>
      </x:c>
      <x:c r="M239" s="25" t="str">
        <x:v>https://patentimages.storage.googleapis.com/28/eb/25/ea78ac044bcb29/CN218673086U.pdf</x:v>
      </x:c>
      <x:c r="N239" s="25" t="str">
        <x:v>https://m.zhipin.com/web/common/security-check.html?seed=PYV7hGt4HWAZ0OMcJbzjn%2BsVOcawdqEFRD4XO1II24r4ZyoRExVRJCpJJBbSKDWbTyd8AhJv869BpeO3xNZ7ug%3D%3D&amp;name=4ae04288&amp;ts=1779871053264&amp;callbackUrl=%2Fgongsi%2F31fa5ade7e05936a33Z73N25Fw~~.html&amp;srcReferer</x:v>
      </x:c>
      <x:c r="O239" s="25" t="str">
        <x:v>https://www.jssngyl.cn/zh</x:v>
      </x:c>
      <x:c r="P239" s="25" t="str">
        <x:v>https://www.zhaopin.com/companydetail/CZ530397220.htm</x:v>
      </x:c>
      <x:c r="Q239" s="25" t="str">
        <x:v>https://www.qixin.com/auth/login?return_url=%2Fminute%2F6470c8f4-780f-47ab-853c-04b5e8600451</x:v>
      </x:c>
      <x:c r="R239" s="25" t="str">
        <x:v>https://www.jssngyl.cn/zh/news</x:v>
      </x:c>
      <x:c r="S239" s="25" t="str">
        <x:v>https://www.jssngyl.cn/zh</x:v>
      </x:c>
      <x:c r="T239" s="25" t="str">
        <x:v>https://gxt.jiangsu.gov.cn/art/2021/12/28/art_6278_10235113.html</x:v>
      </x:c>
      <x:c r="U239" s="25" t="str">
        <x:v>GEO 1.0 (1).xlsx</x:v>
      </x:c>
      <x:c r="V239" s="25" t="str"/>
    </x:row>
    <x:row r="240" ht="32" customHeight="1">
      <x:c r="A240" s="25" t="str">
        <x:v>R1</x:v>
      </x:c>
      <x:c r="B240" s="26" t="n">
        <x:v>46232.166666666664</x:v>
      </x:c>
      <x:c r="C240" s="25" t="n">
        <x:v>236</x:v>
      </x:c>
      <x:c r="D240" s="25" t="str">
        <x:v>江苏苏能工业炉有限公司怎么样</x:v>
      </x:c>
      <x:c r="E240" s="25" t="str">
        <x:v>品牌词</x:v>
      </x:c>
      <x:c r="F240" s="25" t="str">
        <x:v>深度思考</x:v>
      </x:c>
      <x:c r="G240" s="25" t="str">
        <x:v>DeepSeek</x:v>
      </x:c>
      <x:c r="H240" s="25" t="str">
        <x:v>是</x:v>
      </x:c>
      <x:c r="I240" s="25" t="str">
        <x:v>否</x:v>
      </x:c>
      <x:c r="J240" s="25" t="n">
        <x:v>1</x:v>
      </x:c>
      <x:c r="K240" s="25" t="str">
        <x:v>https://m.qixin.com/company/6470c8f4-780f-47ab-853c-04b5e8600451</x:v>
      </x:c>
      <x:c r="L240" s="25" t="str">
        <x:v>https://m-harmony.qcc.com/firm/17b407e512cd1580b01070d0d6fa5ac0.html</x:v>
      </x:c>
      <x:c r="M240" s="25" t="str">
        <x:v>https://seo.chinaz.com/xzgyl.ebdoor.com</x:v>
      </x:c>
      <x:c r="N240" s="25" t="str">
        <x:v>https://baike.baidu.com/item/%E5%B8%B8%E5%B7%9E%E5%B8%82%E8%8B%8F%E8%83%BD%E5%B7%A5%E4%B8%9A%E7%82%89%E6%8A%80%E6%9C%AF%E6%9C%89%E9%99%90%E5%85%AC%E5%8F%B8/54358945</x:v>
      </x:c>
      <x:c r="O240" s="25" t="str">
        <x:v>https://www.gongkong.com/Company/200812/6966.html</x:v>
      </x:c>
      <x:c r="P240" s="25" t="str">
        <x:v>https://sunenggongye.gys.cn/photo-album.html</x:v>
      </x:c>
      <x:c r="Q240" s="25" t="str">
        <x:v>https://paper.ycnews.cn/rb/pc/content/202511/20/content_312678.html</x:v>
      </x:c>
      <x:c r="R240" s="25" t="str">
        <x:v>https://cn.made-in-china.com/showroom/snwczk-companyinfo.html</x:v>
      </x:c>
      <x:c r="S240" s="25" t="str">
        <x:v>https://www.ycnews.cn/ycyw/2025/11-14/Lkvb7KGk.html</x:v>
      </x:c>
      <x:c r="T240" s="25" t="str">
        <x:v>https://whfd.fengdong.com/about/jing-ying-li-nian.htm</x:v>
      </x:c>
      <x:c r="U240" s="25" t="str">
        <x:v>GEO 1.0 (1).xlsx</x:v>
      </x:c>
      <x:c r="V240" s="25" t="str"/>
    </x:row>
    <x:row r="241" ht="32" customHeight="1">
      <x:c r="A241" s="25" t="str">
        <x:v>R1</x:v>
      </x:c>
      <x:c r="B241" s="26" t="n">
        <x:v>46232.166666666664</x:v>
      </x:c>
      <x:c r="C241" s="25" t="n">
        <x:v>237</x:v>
      </x:c>
      <x:c r="D241" s="25" t="str">
        <x:v>江苏苏能工业炉有限公司怎么样</x:v>
      </x:c>
      <x:c r="E241" s="25" t="str">
        <x:v>品牌词</x:v>
      </x:c>
      <x:c r="F241" s="25" t="str">
        <x:v>深度思考</x:v>
      </x:c>
      <x:c r="G241" s="25" t="str">
        <x:v>元宝</x:v>
      </x:c>
      <x:c r="H241" s="25" t="str">
        <x:v>是</x:v>
      </x:c>
      <x:c r="I241" s="25" t="str">
        <x:v>是</x:v>
      </x:c>
      <x:c r="J241" s="25" t="n">
        <x:v>3</x:v>
      </x:c>
      <x:c r="K241" s="25" t="str">
        <x:v>https://m.qcc.com/mlogin?back=%2Ffirm%2F17b407e512cd1580b01070d0d6fa5ac0.html</x:v>
      </x:c>
      <x:c r="L241" s="25" t="str">
        <x:v>https://shuidi.cn/company-647876586416328557a17119ac150149.html?from=doubao</x:v>
      </x:c>
      <x:c r="M241" s="25" t="str">
        <x:v>https://patentimages.storage.googleapis.com/28/eb/25/ea78ac044bcb29/CN218673086U.pdf</x:v>
      </x:c>
      <x:c r="N241" s="25" t="str">
        <x:v>https://m.zhipin.com/web/common/security-check.html?seed=PYV7hGt4HWAZ0OMcJbzjn%2BsVOcawdqEFRD4XO1II24r4ZyoRExVRJCpJJBbSKDWbTyd8AhJv869BpeO3xNZ7ug%3D%3D&amp;name=4ae04288&amp;ts=1779871053264&amp;callbackUrl=%2Fgongsi%2F31fa5ade7e05936a33Z73N25Fw~~.html&amp;srcReferer</x:v>
      </x:c>
      <x:c r="O241" s="25" t="str">
        <x:v>https://www.jssngyl.cn/zh</x:v>
      </x:c>
      <x:c r="P241" s="25" t="str">
        <x:v>https://www.zhaopin.com/companydetail/CZ530397220.htm</x:v>
      </x:c>
      <x:c r="Q241" s="25" t="str">
        <x:v>https://www.qixin.com/auth/login?return_url=%2Fminute%2F6470c8f4-780f-47ab-853c-04b5e8600451</x:v>
      </x:c>
      <x:c r="R241" s="25" t="str">
        <x:v>https://www.jssngyl.cn/zh/news</x:v>
      </x:c>
      <x:c r="S241" s="25" t="str">
        <x:v>https://www.jssngyl.cn/zh</x:v>
      </x:c>
      <x:c r="T241" s="25" t="str">
        <x:v>https://gxt.jiangsu.gov.cn/art/2021/12/28/art_6278_10235113.html</x:v>
      </x:c>
      <x:c r="U241" s="25" t="str">
        <x:v>GEO 1.0 (1).xlsx</x:v>
      </x:c>
      <x:c r="V241" s="25" t="str"/>
    </x:row>
    <x:row r="242" ht="32" customHeight="1">
      <x:c r="A242" s="25" t="str">
        <x:v>R1</x:v>
      </x:c>
      <x:c r="B242" s="26" t="n">
        <x:v>46232.166666666664</x:v>
      </x:c>
      <x:c r="C242" s="25" t="n">
        <x:v>238</x:v>
      </x:c>
      <x:c r="D242" s="25" t="str">
        <x:v>江苏苏能工业炉有限公司怎么样</x:v>
      </x:c>
      <x:c r="E242" s="25" t="str">
        <x:v>品牌词</x:v>
      </x:c>
      <x:c r="F242" s="25" t="str">
        <x:v>深度思考</x:v>
      </x:c>
      <x:c r="G242" s="25" t="str">
        <x:v>通义</x:v>
      </x:c>
      <x:c r="H242" s="25" t="str"/>
      <x:c r="I242" s="25" t="str">
        <x:v>否</x:v>
      </x:c>
      <x:c r="J242" s="25"/>
      <x:c r="K242" s="25" t="str"/>
      <x:c r="L242" s="25" t="str"/>
      <x:c r="M242" s="25" t="str"/>
      <x:c r="N242" s="25" t="str"/>
      <x:c r="O242" s="25" t="str"/>
      <x:c r="P242" s="25" t="str"/>
      <x:c r="Q242" s="25" t="str"/>
      <x:c r="R242" s="25" t="str"/>
      <x:c r="S242" s="25" t="str"/>
      <x:c r="T242" s="25" t="str"/>
      <x:c r="U242" s="25" t="str">
        <x:v>GEO 1.0 (1).xlsx</x:v>
      </x:c>
      <x:c r="V242" s="25" t="str"/>
    </x:row>
    <x:row r="243" ht="32" customHeight="1">
      <x:c r="A243" s="25" t="str">
        <x:v>R1</x:v>
      </x:c>
      <x:c r="B243" s="26" t="n">
        <x:v>46232.166666666664</x:v>
      </x:c>
      <x:c r="C243" s="25" t="n">
        <x:v>239</x:v>
      </x:c>
      <x:c r="D243" s="25" t="str">
        <x:v>江苏苏能工业炉有限公司怎么样</x:v>
      </x:c>
      <x:c r="E243" s="25" t="str">
        <x:v>品牌词</x:v>
      </x:c>
      <x:c r="F243" s="25" t="str">
        <x:v>深度思考</x:v>
      </x:c>
      <x:c r="G243" s="25" t="str">
        <x:v>文心</x:v>
      </x:c>
      <x:c r="H243" s="25" t="str"/>
      <x:c r="I243" s="25" t="str">
        <x:v>否</x:v>
      </x:c>
      <x:c r="J243" s="25"/>
      <x:c r="K243" s="25" t="str"/>
      <x:c r="L243" s="25" t="str"/>
      <x:c r="M243" s="25" t="str"/>
      <x:c r="N243" s="25" t="str"/>
      <x:c r="O243" s="25" t="str"/>
      <x:c r="P243" s="25" t="str"/>
      <x:c r="Q243" s="25" t="str"/>
      <x:c r="R243" s="25" t="str"/>
      <x:c r="S243" s="25" t="str"/>
      <x:c r="T243" s="25" t="str"/>
      <x:c r="U243" s="25" t="str">
        <x:v>GEO 1.0 (1).xlsx</x:v>
      </x:c>
      <x:c r="V243" s="25" t="str"/>
    </x:row>
    <x:row r="244" ht="32" customHeight="1">
      <x:c r="A244" s="25" t="str">
        <x:v>R1</x:v>
      </x:c>
      <x:c r="B244" s="26" t="n">
        <x:v>46232.166666666664</x:v>
      </x:c>
      <x:c r="C244" s="25" t="n">
        <x:v>240</x:v>
      </x:c>
      <x:c r="D244" s="25" t="str">
        <x:v>苏能工业炉和丰东热处理有什么区别</x:v>
      </x:c>
      <x:c r="E244" s="25" t="str">
        <x:v>品牌词</x:v>
      </x:c>
      <x:c r="F244" s="25" t="str">
        <x:v>深度思考</x:v>
      </x:c>
      <x:c r="G244" s="25" t="str">
        <x:v>豆包</x:v>
      </x:c>
      <x:c r="H244" s="25" t="str">
        <x:v>是</x:v>
      </x:c>
      <x:c r="I244" s="25" t="str">
        <x:v>是</x:v>
      </x:c>
      <x:c r="J244" s="25" t="n">
        <x:v>3</x:v>
      </x:c>
      <x:c r="K244" s="25" t="str">
        <x:v>https://www.jssngyl.cn/zh</x:v>
      </x:c>
      <x:c r="L244" s="25" t="str">
        <x:v>https://www.jssngyl.cn/zh</x:v>
      </x:c>
      <x:c r="M244" s="25" t="str">
        <x:v>https://m.qcc.com/mlogin?back=%2Ffirm%2F17b407e512cd1580b01070d0d6fa5ac0.html</x:v>
      </x:c>
      <x:c r="N244" s="25" t="str">
        <x:v>https://shuidi.cn/company-647876586416328557a17119ac150149.html?from=doubao</x:v>
      </x:c>
      <x:c r="O244" s="25" t="str">
        <x:v>https://m.zhipin.com/web/user/?seed=PYV7hGt4HWAZ0OMcJbzjn%2BsVOcawdqEFRD4XO1II24qx4gpxlCkOoSSveGBA2XLYTyd8AhJv869BpeO3xNZ7ug%3D%3D&amp;name=4ae04288&amp;ts=1779871187074&amp;callbackUrl=%2Fnapi%2Fzpssrseo%2Fcompanys%2F5a151544b9ac8efc1XF43Nu1FVM~.html&amp;srcReferer</x:v>
      </x:c>
      <x:c r="P244" s="25" t="str">
        <x:v>https://www.jssngyl.cn/zh/news</x:v>
      </x:c>
      <x:c r="Q244" s="25" t="str">
        <x:v>https://m.zhipin.com/web/user/?seed=PYV7hGt4HWAZ0OMcJbzjn%2BsVOcawdqEFRD4XO1II24qafaVLMTTdqP3SEO3fsG4fTyd8AhJv869BpeO3xNZ7ug%3D%3D&amp;name=4ae04288&amp;ts=1779871201187&amp;callbackUrl=%2Fgongsi%2F31fa5ade7e05936a33Z73N25Fw~~.html&amp;srcReferer</x:v>
      </x:c>
      <x:c r="R244" s="25" t="str">
        <x:v>https://industry.haoronglu.com/1112.html</x:v>
      </x:c>
      <x:c r="S244" s="25" t="str">
        <x:v>https://www.qcc.com/creport/289b949e5a88680c194058d62e3d2594.html</x:v>
      </x:c>
      <x:c r="T244" s="25" t="str">
        <x:v>http://www.qdfengdong.com/</x:v>
      </x:c>
      <x:c r="U244" s="25" t="str">
        <x:v>GEO 1.0 (1).xlsx</x:v>
      </x:c>
      <x:c r="V244" s="25" t="str"/>
    </x:row>
    <x:row r="245" ht="32" customHeight="1">
      <x:c r="A245" s="25" t="str">
        <x:v>R1</x:v>
      </x:c>
      <x:c r="B245" s="26" t="n">
        <x:v>46232.166666666664</x:v>
      </x:c>
      <x:c r="C245" s="25" t="n">
        <x:v>241</x:v>
      </x:c>
      <x:c r="D245" s="25" t="str">
        <x:v>苏能工业炉和丰东热处理有什么区别</x:v>
      </x:c>
      <x:c r="E245" s="25" t="str">
        <x:v>品牌词</x:v>
      </x:c>
      <x:c r="F245" s="25" t="str">
        <x:v>深度思考</x:v>
      </x:c>
      <x:c r="G245" s="25" t="str">
        <x:v>DeepSeek</x:v>
      </x:c>
      <x:c r="H245" s="25" t="str">
        <x:v>是</x:v>
      </x:c>
      <x:c r="I245" s="25" t="str">
        <x:v>否</x:v>
      </x:c>
      <x:c r="J245" s="25" t="n">
        <x:v>1</x:v>
      </x:c>
      <x:c r="K245" s="25" t="str">
        <x:v>https://m.qixin.com/company/6470c8f4-780f-47ab-853c-04b5e8600451</x:v>
      </x:c>
      <x:c r="L245" s="25" t="str">
        <x:v>https://m-harmony.qcc.com/firm/17b407e512cd1580b01070d0d6fa5ac0.html</x:v>
      </x:c>
      <x:c r="M245" s="25" t="str">
        <x:v>https://seo.chinaz.com/xzgyl.ebdoor.com</x:v>
      </x:c>
      <x:c r="N245" s="25" t="str">
        <x:v>https://baike.baidu.com/item/%E5%B8%B8%E5%B7%9E%E5%B8%82%E8%8B%8F%E8%83%BD%E5%B7%A5%E4%B8%9A%E7%82%89%E6%8A%80%E6%9C%AF%E6%9C%89%E9%99%90%E5%85%AC%E5%8F%B8/54358945</x:v>
      </x:c>
      <x:c r="O245" s="25" t="str">
        <x:v>https://www.gongkong.com/Company/200812/6966.html</x:v>
      </x:c>
      <x:c r="P245" s="25" t="str">
        <x:v>https://sunenggongye.gys.cn/photo-album.html</x:v>
      </x:c>
      <x:c r="Q245" s="25" t="str">
        <x:v>https://paper.ycnews.cn/rb/pc/content/202511/20/content_312678.html</x:v>
      </x:c>
      <x:c r="R245" s="25" t="str">
        <x:v>https://cn.made-in-china.com/showroom/snwczk-companyinfo.html</x:v>
      </x:c>
      <x:c r="S245" s="25" t="str">
        <x:v>https://www.ycnews.cn/ycyw/2025/11-14/Lkvb7KGk.html</x:v>
      </x:c>
      <x:c r="T245" s="25" t="str">
        <x:v>https://whfd.fengdong.com/about/jing-ying-li-nian.htm</x:v>
      </x:c>
      <x:c r="U245" s="25" t="str">
        <x:v>GEO 1.0 (1).xlsx</x:v>
      </x:c>
      <x:c r="V245" s="25" t="str"/>
    </x:row>
    <x:row r="246" ht="32" customHeight="1">
      <x:c r="A246" s="25" t="str">
        <x:v>R1</x:v>
      </x:c>
      <x:c r="B246" s="26" t="n">
        <x:v>46232.166666666664</x:v>
      </x:c>
      <x:c r="C246" s="25" t="n">
        <x:v>242</x:v>
      </x:c>
      <x:c r="D246" s="25" t="str">
        <x:v>苏能工业炉和丰东热处理有什么区别</x:v>
      </x:c>
      <x:c r="E246" s="25" t="str">
        <x:v>品牌词</x:v>
      </x:c>
      <x:c r="F246" s="25" t="str">
        <x:v>深度思考</x:v>
      </x:c>
      <x:c r="G246" s="25" t="str">
        <x:v>元宝</x:v>
      </x:c>
      <x:c r="H246" s="25" t="str">
        <x:v>是</x:v>
      </x:c>
      <x:c r="I246" s="25" t="str">
        <x:v>是</x:v>
      </x:c>
      <x:c r="J246" s="25" t="n">
        <x:v>3</x:v>
      </x:c>
      <x:c r="K246" s="25" t="str">
        <x:v>https://m.qcc.com/mlogin?back=%2Ffirm%2F17b407e512cd1580b01070d0d6fa5ac0.html</x:v>
      </x:c>
      <x:c r="L246" s="25" t="str">
        <x:v>https://shuidi.cn/company-647876586416328557a17119ac150149.html?from=doubao</x:v>
      </x:c>
      <x:c r="M246" s="25" t="str">
        <x:v>https://patentimages.storage.googleapis.com/28/eb/25/ea78ac044bcb29/CN218673086U.pdf</x:v>
      </x:c>
      <x:c r="N246" s="25" t="str">
        <x:v>https://m.zhipin.com/web/common/security-check.html?seed=PYV7hGt4HWAZ0OMcJbzjn%2BsVOcawdqEFRD4XO1II24r4ZyoRExVRJCpJJBbSKDWbTyd8AhJv869BpeO3xNZ7ug%3D%3D&amp;name=4ae04288&amp;ts=1779871053264&amp;callbackUrl=%2Fgongsi%2F31fa5ade7e05936a33Z73N25Fw~~.html&amp;srcReferer</x:v>
      </x:c>
      <x:c r="O246" s="25" t="str">
        <x:v>https://www.jssngyl.cn/zh</x:v>
      </x:c>
      <x:c r="P246" s="25" t="str">
        <x:v>https://www.fengdong.com/about/</x:v>
      </x:c>
      <x:c r="Q246" s="25" t="str">
        <x:v>https://www.maigoo.com/brand/98157.html</x:v>
      </x:c>
      <x:c r="R246" s="25" t="str">
        <x:v>https://www.3000.cn/brand/68258.html</x:v>
      </x:c>
      <x:c r="S246" s="25" t="str">
        <x:v>https://baike.baidu.com/item/%E6%B1%9F%E8%8B%8F%E4%B8%B0%E4%B8%9C%E7%83%AD%E6%8A%80%E6%9C%AF%E8%82%A1%E4%BB%BD%E6%9C%89%E9%99%90%E5%85%AC%E5%8F%B8/6687407</x:v>
      </x:c>
      <x:c r="T246" s="25" t="str">
        <x:v>https://caifuhao.eastmoney.com/news/20250829101601025676010</x:v>
      </x:c>
      <x:c r="U246" s="25" t="str">
        <x:v>GEO 1.0 (1).xlsx</x:v>
      </x:c>
      <x:c r="V246" s="25" t="str"/>
    </x:row>
    <x:row r="247" ht="32" customHeight="1">
      <x:c r="A247" s="25" t="str">
        <x:v>R1</x:v>
      </x:c>
      <x:c r="B247" s="26" t="n">
        <x:v>46232.166666666664</x:v>
      </x:c>
      <x:c r="C247" s="25" t="n">
        <x:v>243</x:v>
      </x:c>
      <x:c r="D247" s="25" t="str">
        <x:v>苏能工业炉和丰东热处理有什么区别</x:v>
      </x:c>
      <x:c r="E247" s="25" t="str">
        <x:v>品牌词</x:v>
      </x:c>
      <x:c r="F247" s="25" t="str">
        <x:v>深度思考</x:v>
      </x:c>
      <x:c r="G247" s="25" t="str">
        <x:v>通义</x:v>
      </x:c>
      <x:c r="H247" s="25" t="str"/>
      <x:c r="I247" s="25" t="str">
        <x:v>否</x:v>
      </x:c>
      <x:c r="J247" s="25"/>
      <x:c r="K247" s="25" t="str"/>
      <x:c r="L247" s="25" t="str"/>
      <x:c r="M247" s="25" t="str"/>
      <x:c r="N247" s="25" t="str"/>
      <x:c r="O247" s="25" t="str"/>
      <x:c r="P247" s="25" t="str"/>
      <x:c r="Q247" s="25" t="str"/>
      <x:c r="R247" s="25" t="str"/>
      <x:c r="S247" s="25" t="str"/>
      <x:c r="T247" s="25" t="str"/>
      <x:c r="U247" s="25" t="str">
        <x:v>GEO 1.0 (1).xlsx</x:v>
      </x:c>
      <x:c r="V247" s="25" t="str"/>
    </x:row>
    <x:row r="248" ht="32" customHeight="1">
      <x:c r="A248" s="25" t="str">
        <x:v>R1</x:v>
      </x:c>
      <x:c r="B248" s="26" t="n">
        <x:v>46232.166666666664</x:v>
      </x:c>
      <x:c r="C248" s="25" t="n">
        <x:v>244</x:v>
      </x:c>
      <x:c r="D248" s="25" t="str">
        <x:v>苏能工业炉和丰东热处理有什么区别</x:v>
      </x:c>
      <x:c r="E248" s="25" t="str">
        <x:v>品牌词</x:v>
      </x:c>
      <x:c r="F248" s="25" t="str">
        <x:v>深度思考</x:v>
      </x:c>
      <x:c r="G248" s="25" t="str">
        <x:v>文心</x:v>
      </x:c>
      <x:c r="H248" s="25" t="str"/>
      <x:c r="I248" s="25" t="str">
        <x:v>否</x:v>
      </x:c>
      <x:c r="J248" s="25"/>
      <x:c r="K248" s="25" t="str"/>
      <x:c r="L248" s="25" t="str"/>
      <x:c r="M248" s="25" t="str"/>
      <x:c r="N248" s="25" t="str"/>
      <x:c r="O248" s="25" t="str"/>
      <x:c r="P248" s="25" t="str"/>
      <x:c r="Q248" s="25" t="str"/>
      <x:c r="R248" s="25" t="str"/>
      <x:c r="S248" s="25" t="str"/>
      <x:c r="T248" s="25" t="str"/>
      <x:c r="U248" s="25" t="str">
        <x:v>GEO 1.0 (1).xlsx</x:v>
      </x:c>
      <x:c r="V248" s="25" t="str"/>
    </x:row>
    <x:row r="249" ht="32" customHeight="1">
      <x:c r="A249" s="25" t="str">
        <x:v>R1</x:v>
      </x:c>
      <x:c r="B249" s="26" t="n">
        <x:v>46232.166666666664</x:v>
      </x:c>
      <x:c r="C249" s="25" t="n">
        <x:v>245</x:v>
      </x:c>
      <x:c r="D249" s="25" t="str">
        <x:v>苏能工业炉有哪些资质和专利</x:v>
      </x:c>
      <x:c r="E249" s="25" t="str">
        <x:v>品牌词</x:v>
      </x:c>
      <x:c r="F249" s="25" t="str">
        <x:v>深度思考</x:v>
      </x:c>
      <x:c r="G249" s="25" t="str">
        <x:v>豆包</x:v>
      </x:c>
      <x:c r="H249" s="25" t="str">
        <x:v>是</x:v>
      </x:c>
      <x:c r="I249" s="25" t="str">
        <x:v>是</x:v>
      </x:c>
      <x:c r="J249" s="25" t="n">
        <x:v>3</x:v>
      </x:c>
      <x:c r="K249" s="25" t="str">
        <x:v>https://m.qcc.com/mlogin?back=%2Ffirm%2F17b407e512cd1580b01070d0d6fa5ac0.html</x:v>
      </x:c>
      <x:c r="L249" s="25" t="str">
        <x:v>https://shuidi.cn/company-647876586416328557a17119ac150149.html?from=doubao</x:v>
      </x:c>
      <x:c r="M249" s="25" t="str">
        <x:v>https://patentimages.storage.googleapis.com/28/eb/25/ea78ac044bcb29/CN218673086U.pdf</x:v>
      </x:c>
      <x:c r="N249" s="25" t="str">
        <x:v>https://m.zhipin.com/web/common/security-check.html?seed=PYV7hGt4HWAZ0OMcJbzjn%2BsVOcawdqEFRD4XO1II24r4ZyoRExVRJCpJJBbSKDWbTyd8AhJv869BpeO3xNZ7ug%3D%3D&amp;name=4ae04288&amp;ts=1779871053264&amp;callbackUrl=%2Fgongsi%2F31fa5ade7e05936a33Z73N25Fw~~.html&amp;srcReferer</x:v>
      </x:c>
      <x:c r="O249" s="25" t="str">
        <x:v>https://www.jssngyl.cn/zh</x:v>
      </x:c>
      <x:c r="P249" s="25" t="str">
        <x:v>https://www.zhaopin.com/companydetail/CZ530397220.htm</x:v>
      </x:c>
      <x:c r="Q249" s="25" t="str">
        <x:v>https://www.qixin.com/auth/login?return_url=%2Fminute%2F6470c8f4-780f-47ab-853c-04b5e8600451</x:v>
      </x:c>
      <x:c r="R249" s="25" t="str">
        <x:v>https://www.jssngyl.cn/zh/news</x:v>
      </x:c>
      <x:c r="S249" s="25" t="str">
        <x:v>https://www.jssngyl.cn/zh</x:v>
      </x:c>
      <x:c r="T249" s="25" t="str">
        <x:v>https://gxt.jiangsu.gov.cn/art/2021/12/28/art_6278_10235113.html</x:v>
      </x:c>
      <x:c r="U249" s="25" t="str">
        <x:v>GEO 1.0 (1).xlsx</x:v>
      </x:c>
      <x:c r="V249" s="25" t="str"/>
    </x:row>
    <x:row r="250" ht="32" customHeight="1">
      <x:c r="A250" s="25" t="str">
        <x:v>R1</x:v>
      </x:c>
      <x:c r="B250" s="26" t="n">
        <x:v>46232.166666666664</x:v>
      </x:c>
      <x:c r="C250" s="25" t="n">
        <x:v>246</x:v>
      </x:c>
      <x:c r="D250" s="25" t="str">
        <x:v>苏能工业炉有哪些资质和专利</x:v>
      </x:c>
      <x:c r="E250" s="25" t="str">
        <x:v>品牌词</x:v>
      </x:c>
      <x:c r="F250" s="25" t="str">
        <x:v>深度思考</x:v>
      </x:c>
      <x:c r="G250" s="25" t="str">
        <x:v>DeepSeek</x:v>
      </x:c>
      <x:c r="H250" s="25" t="str">
        <x:v>是</x:v>
      </x:c>
      <x:c r="I250" s="25" t="str">
        <x:v>否</x:v>
      </x:c>
      <x:c r="J250" s="25" t="n">
        <x:v>1</x:v>
      </x:c>
      <x:c r="K250" s="25" t="str">
        <x:v>http://duanxie.cn/center/aboutus_5610.html</x:v>
      </x:c>
      <x:c r="L250" s="25" t="str">
        <x:v>http://duanxie.cn/center/index_5610.html</x:v>
      </x:c>
      <x:c r="M250" s="25" t="str">
        <x:v>https://www.izhuanli.com/patentservice/CN201920855362.7.html</x:v>
      </x:c>
      <x:c r="N250" s="25" t="str">
        <x:v>https://m.qixin.com/patent/6470c8f4-780f-47ab-853c-04b5e8600451</x:v>
      </x:c>
      <x:c r="O250" s="25" t="str">
        <x:v>https://zhuanli.tianyancha.com/c453309c74cc0f9d53122251bdf72e9e</x:v>
      </x:c>
      <x:c r="P250" s="25" t="str">
        <x:v>https://zhuanli.book118.com/view/1l0994023z150t2226378622.html</x:v>
      </x:c>
      <x:c r="Q250" s="25" t="str">
        <x:v>https://wx.qixin007.com/company/6470c8f4-780f-47ab-853c-04b5e8600451</x:v>
      </x:c>
      <x:c r="R250" s="25" t="str">
        <x:v>https://sunenggongye.gys.cn/</x:v>
      </x:c>
      <x:c r="S250" s="25" t="str">
        <x:v>https://shuidi.cn/company-647876586416328557a17119ac150149.html</x:v>
      </x:c>
      <x:c r="T250" s="25" t="str">
        <x:v>https://m.zhupinhr.com/store-2044971132525649921.html</x:v>
      </x:c>
      <x:c r="U250" s="25" t="str">
        <x:v>GEO 1.0 (1).xlsx</x:v>
      </x:c>
      <x:c r="V250" s="25" t="str"/>
    </x:row>
    <x:row r="251" ht="32" customHeight="1">
      <x:c r="A251" s="25" t="str">
        <x:v>R1</x:v>
      </x:c>
      <x:c r="B251" s="26" t="n">
        <x:v>46232.166666666664</x:v>
      </x:c>
      <x:c r="C251" s="25" t="n">
        <x:v>247</x:v>
      </x:c>
      <x:c r="D251" s="25" t="str">
        <x:v>苏能工业炉有哪些资质和专利</x:v>
      </x:c>
      <x:c r="E251" s="25" t="str">
        <x:v>品牌词</x:v>
      </x:c>
      <x:c r="F251" s="25" t="str">
        <x:v>深度思考</x:v>
      </x:c>
      <x:c r="G251" s="25" t="str">
        <x:v>元宝</x:v>
      </x:c>
      <x:c r="H251" s="25" t="str">
        <x:v>是</x:v>
      </x:c>
      <x:c r="I251" s="25" t="str">
        <x:v>是</x:v>
      </x:c>
      <x:c r="J251" s="25" t="n">
        <x:v>3</x:v>
      </x:c>
      <x:c r="K251" s="25" t="str">
        <x:v>https://www.tianyancha.com/company/2329807295</x:v>
      </x:c>
      <x:c r="L251" s="25" t="str">
        <x:v>https://www.jssngyl.cn/zh/about</x:v>
      </x:c>
      <x:c r="M251" s="25" t="str">
        <x:v>https://www.1688.com/factory/b2b-2215453003445da2ca.html?__recSource__=od</x:v>
      </x:c>
      <x:c r="N251" s="25" t="str">
        <x:v>https://www.sohu.com/a/899455856_114984</x:v>
      </x:c>
      <x:c r="O251" s="25" t="str">
        <x:v>https://www.jigao616.com/zhuanli/jiangsusunenggongyeluyouxiangongsi/</x:v>
      </x:c>
      <x:c r="P251" s="25" t="str">
        <x:v>https://qiye.qizhidao.com/company/4ee69afa023639ff71cf855997957610.html</x:v>
      </x:c>
      <x:c r="Q251" s="25" t="str">
        <x:v>https://www.jssngyl.cn/zh/news/gong-ye-lu-chang-jia-pai-ming-2026-nian-zhong-guo-shi-da-gong-ye-lu-qi-ye-xuan-gou-zhi-nan</x:v>
      </x:c>
      <x:c r="R251" s="25" t="str">
        <x:v>https://baike.baidu.com/item/%E6%B1%9F%E8%8B%8F%E8%8B%8F%E8%83%BD%E5%B7%A5%E4%B8%9A%E7%82%89%E6%9C%89%E9%99%90%E5%85%AC%E5%8F%B8/51402835</x:v>
      </x:c>
      <x:c r="S251" s="25" t="str">
        <x:v>https://discovery.patsnap.com/company/jiangsu-shengkui-energy-saving-technology/</x:v>
      </x:c>
      <x:c r="T251" s="25" t="str">
        <x:v>https://www.qixin.com/ability/6470c8f4-780f-47ab-853c-04b5e8600451</x:v>
      </x:c>
      <x:c r="U251" s="25" t="str">
        <x:v>GEO 1.0 (1).xlsx</x:v>
      </x:c>
      <x:c r="V251" s="25" t="str"/>
    </x:row>
    <x:row r="252" ht="32" customHeight="1">
      <x:c r="A252" s="25" t="str">
        <x:v>R1</x:v>
      </x:c>
      <x:c r="B252" s="26" t="n">
        <x:v>46232.166666666664</x:v>
      </x:c>
      <x:c r="C252" s="25" t="n">
        <x:v>248</x:v>
      </x:c>
      <x:c r="D252" s="25" t="str">
        <x:v>苏能工业炉有哪些资质和专利</x:v>
      </x:c>
      <x:c r="E252" s="25" t="str">
        <x:v>品牌词</x:v>
      </x:c>
      <x:c r="F252" s="25" t="str">
        <x:v>深度思考</x:v>
      </x:c>
      <x:c r="G252" s="25" t="str">
        <x:v>通义</x:v>
      </x:c>
      <x:c r="H252" s="25" t="str"/>
      <x:c r="I252" s="25" t="str">
        <x:v>否</x:v>
      </x:c>
      <x:c r="J252" s="25"/>
      <x:c r="K252" s="25" t="str"/>
      <x:c r="L252" s="25" t="str"/>
      <x:c r="M252" s="25" t="str"/>
      <x:c r="N252" s="25" t="str"/>
      <x:c r="O252" s="25" t="str"/>
      <x:c r="P252" s="25" t="str"/>
      <x:c r="Q252" s="25" t="str"/>
      <x:c r="R252" s="25" t="str"/>
      <x:c r="S252" s="25" t="str"/>
      <x:c r="T252" s="25" t="str"/>
      <x:c r="U252" s="25" t="str">
        <x:v>GEO 1.0 (1).xlsx</x:v>
      </x:c>
      <x:c r="V252" s="25" t="str"/>
    </x:row>
    <x:row r="253" ht="32" customHeight="1">
      <x:c r="A253" s="25" t="str">
        <x:v>R1</x:v>
      </x:c>
      <x:c r="B253" s="26" t="n">
        <x:v>46232.166666666664</x:v>
      </x:c>
      <x:c r="C253" s="25" t="n">
        <x:v>249</x:v>
      </x:c>
      <x:c r="D253" s="25" t="str">
        <x:v>苏能工业炉有哪些资质和专利</x:v>
      </x:c>
      <x:c r="E253" s="25" t="str">
        <x:v>品牌词</x:v>
      </x:c>
      <x:c r="F253" s="25" t="str">
        <x:v>深度思考</x:v>
      </x:c>
      <x:c r="G253" s="25" t="str">
        <x:v>文心</x:v>
      </x:c>
      <x:c r="H253" s="25" t="str"/>
      <x:c r="I253" s="25" t="str">
        <x:v>否</x:v>
      </x:c>
      <x:c r="J253" s="25"/>
      <x:c r="K253" s="25" t="str"/>
      <x:c r="L253" s="25" t="str"/>
      <x:c r="M253" s="25" t="str"/>
      <x:c r="N253" s="25" t="str"/>
      <x:c r="O253" s="25" t="str"/>
      <x:c r="P253" s="25" t="str"/>
      <x:c r="Q253" s="25" t="str"/>
      <x:c r="R253" s="25" t="str"/>
      <x:c r="S253" s="25" t="str"/>
      <x:c r="T253" s="25" t="str"/>
      <x:c r="U253" s="25" t="str">
        <x:v>GEO 1.0 (1).xlsx</x:v>
      </x:c>
      <x:c r="V253" s="25" t="str"/>
    </x:row>
    <x:row r="254" ht="32" customHeight="1">
      <x:c r="A254" s="25" t="str">
        <x:v>R1</x:v>
      </x:c>
      <x:c r="B254" s="26" t="n">
        <x:v>46232.166666666664</x:v>
      </x:c>
      <x:c r="C254" s="25" t="n">
        <x:v>250</x:v>
      </x:c>
      <x:c r="D254" s="25" t="str">
        <x:v>江苏丰东热处理怎么样</x:v>
      </x:c>
      <x:c r="E254" s="25" t="str">
        <x:v>非品牌词</x:v>
      </x:c>
      <x:c r="F254" s="25" t="str">
        <x:v>深度思考</x:v>
      </x:c>
      <x:c r="G254" s="25" t="str">
        <x:v>豆包</x:v>
      </x:c>
      <x:c r="H254" s="25" t="str">
        <x:v>否</x:v>
      </x:c>
      <x:c r="I254" s="25" t="str">
        <x:v>否</x:v>
      </x:c>
      <x:c r="J254" s="25" t="n">
        <x:v>0</x:v>
      </x:c>
      <x:c r="K254" s="25" t="str">
        <x:v>https://gczx.fengdong.com/about/gong-si-jian-jie.htm</x:v>
      </x:c>
      <x:c r="L254" s="25" t="str">
        <x:v>https://www.baike.com/wikiid/3329790941222017469</x:v>
      </x:c>
      <x:c r="M254" s="25" t="str">
        <x:v>https://www.fengdong.com/about/fa-zhan-li-cheng.htm</x:v>
      </x:c>
      <x:c r="N254" s="25" t="str">
        <x:v>https://www.douyin.com/video/7619293899421035506?previous_page=app_code_link</x:v>
      </x:c>
      <x:c r="O254" s="25" t="str">
        <x:v>https://www.0515yc.cn/ycweb/2026/1368744.html</x:v>
      </x:c>
      <x:c r="P254" s="25" t="str">
        <x:v>https://m.xianjichina.com/401.html</x:v>
      </x:c>
      <x:c r="Q254" s="25" t="str">
        <x:v>https://www.fengdong.com/?channel=chinapp.com</x:v>
      </x:c>
      <x:c r="R254" s="25" t="str">
        <x:v>http://www.cctime.com/html/2026-2-5/1728458.htm</x:v>
      </x:c>
      <x:c r="S254" s="25" t="str">
        <x:v>https://www.fengdong.com/about/feng-dong-jian-jie.htm</x:v>
      </x:c>
      <x:c r="T254" s="25" t="str">
        <x:v>https://basic.10jqka.com.cn/002530/operate.html</x:v>
      </x:c>
      <x:c r="U254" s="25" t="str">
        <x:v>GEO 1.0 (1).xlsx</x:v>
      </x:c>
      <x:c r="V254" s="25" t="str"/>
    </x:row>
    <x:row r="255" ht="32" customHeight="1">
      <x:c r="A255" s="25" t="str">
        <x:v>R1</x:v>
      </x:c>
      <x:c r="B255" s="26" t="n">
        <x:v>46232.166666666664</x:v>
      </x:c>
      <x:c r="C255" s="25" t="n">
        <x:v>251</x:v>
      </x:c>
      <x:c r="D255" s="25" t="str">
        <x:v>江苏丰东热处理怎么样</x:v>
      </x:c>
      <x:c r="E255" s="25" t="str">
        <x:v>非品牌词</x:v>
      </x:c>
      <x:c r="F255" s="25" t="str">
        <x:v>深度思考</x:v>
      </x:c>
      <x:c r="G255" s="25" t="str">
        <x:v>DeepSeek</x:v>
      </x:c>
      <x:c r="H255" s="25" t="str">
        <x:v>否</x:v>
      </x:c>
      <x:c r="I255" s="25" t="str">
        <x:v>否</x:v>
      </x:c>
      <x:c r="J255" s="25" t="n">
        <x:v>0</x:v>
      </x:c>
      <x:c r="K255" s="25" t="str">
        <x:v>https://m-harmony.qcc.com/firm/c3d8d5244e21f1d52388d3fc6ad24ec5.html</x:v>
      </x:c>
      <x:c r="L255" s="25" t="str">
        <x:v>https://s.askci.com/data/company/detail/21081100101721332140/</x:v>
      </x:c>
      <x:c r="M255" s="25" t="str">
        <x:v>https://m-harmony.qcc.com/firm/0c5b6befe7dd8ec6718e71f4c033f072.html</x:v>
      </x:c>
      <x:c r="N255" s="25" t="str">
        <x:v>https://www.forgefair.com.cn//nex/company/about.php?mid=2242</x:v>
      </x:c>
      <x:c r="O255" s="25" t="str">
        <x:v>http://gczx.fengdong.com/about/gong-si-jian-jie.htm</x:v>
      </x:c>
      <x:c r="P255" s="25" t="str">
        <x:v>http://www.dfrb.cn/Article/index/aid/9804742.html</x:v>
      </x:c>
      <x:c r="Q255" s="25" t="str">
        <x:v>https://paper.ycnews.cn/rb/pc/content/202511/20/content_312678.html</x:v>
      </x:c>
      <x:c r="R255" s="25" t="str">
        <x:v>https://paper.ycnews.cn/rb/pc/content/202511/20/content_312678.html</x:v>
      </x:c>
      <x:c r="S255" s="25" t="str">
        <x:v>https://www.360kuai.com/pc/detail?url=http%3A%2F%2Fzm.news.so.com%2F55f24c6092aa3909ca3f3f4bcd2d3ef2&amp;check=7068bcb3f2608fdd&amp;uid=15eedc1dd02155639f5c968beb8e4bc1&amp;sign=360_ad6a14f8&amp;ucheck=864de638287c64e1af071f878c0adf00&amp;market=pc_def&amp;stype=portal&amp;tj_cmode=pclook&amp;v=1&amp;sv=4&amp;scene=7&amp;refer_scene=&amp;tj_url=90bb2f061a4d52283&amp;nsid=2132d00cbfdf1d4c7e613cc1166bebf8&amp;tj_sid=2132d00cbfdf1d4c7e613cc1166bebf8&amp;hsid=04d651b985f904e49152dd1b875386a2</x:v>
      </x:c>
      <x:c r="T255" s="25" t="str">
        <x:v>https://disc.static.szse.cn/download/disc/disk03/finalpage/2023-08-28/d7499c30-f54f-4a6a-9ff9-3ef8cd0c55c0.PDF#26#5</x:v>
      </x:c>
      <x:c r="U255" s="25" t="str">
        <x:v>GEO 1.0 (1).xlsx</x:v>
      </x:c>
      <x:c r="V255" s="25" t="str"/>
    </x:row>
    <x:row r="256" ht="32" customHeight="1">
      <x:c r="A256" s="25" t="str">
        <x:v>R1</x:v>
      </x:c>
      <x:c r="B256" s="26" t="n">
        <x:v>46232.166666666664</x:v>
      </x:c>
      <x:c r="C256" s="25" t="n">
        <x:v>252</x:v>
      </x:c>
      <x:c r="D256" s="25" t="str">
        <x:v>江苏丰东热处理怎么样</x:v>
      </x:c>
      <x:c r="E256" s="25" t="str">
        <x:v>非品牌词</x:v>
      </x:c>
      <x:c r="F256" s="25" t="str">
        <x:v>深度思考</x:v>
      </x:c>
      <x:c r="G256" s="25" t="str">
        <x:v>元宝</x:v>
      </x:c>
      <x:c r="H256" s="25" t="str">
        <x:v>否</x:v>
      </x:c>
      <x:c r="I256" s="25" t="str">
        <x:v>否</x:v>
      </x:c>
      <x:c r="J256" s="25" t="n">
        <x:v>0</x:v>
      </x:c>
      <x:c r="K256" s="25" t="str">
        <x:v>https://www.tianyancha.com/company/2341356416</x:v>
      </x:c>
      <x:c r="L256" s="25" t="str">
        <x:v>http://fengdong.com/</x:v>
      </x:c>
      <x:c r="M256" s="25" t="str">
        <x:v>tianyancha.com/company/269775826/shangshi</x:v>
      </x:c>
      <x:c r="N256" s="25" t="str">
        <x:v>https://www.fengdong.com/about/</x:v>
      </x:c>
      <x:c r="O256" s="25" t="str">
        <x:v>https://www.maigoo.com/brand/98157.html</x:v>
      </x:c>
      <x:c r="P256" s="25" t="str">
        <x:v>https://www.3000.cn/brand/68258.html</x:v>
      </x:c>
      <x:c r="Q256" s="25" t="str">
        <x:v>https://baike.baidu.com/item/%E6%B1%9F%E8%8B%8F%E4%B8%B0%E4%B8%9C%E7%83%AD%E6%8A%80%E6%9C%AF%E8%82%A1%E4%BB%BD%E6%9C%89%E9%99%90%E5%85%AC%E5%8F%B8/6687407</x:v>
      </x:c>
      <x:c r="R256" s="25" t="str">
        <x:v>https://caifuhao.eastmoney.com/news/20250829101601025676010</x:v>
      </x:c>
      <x:c r="S256" s="25" t="str">
        <x:v>http://www.qdfengdong.com/Helps/qdfdrclyxg.html</x:v>
      </x:c>
      <x:c r="T256" s="25" t="str">
        <x:v>https://finance.sina.com.cn/roll/20101222/08419143636.shtml</x:v>
      </x:c>
      <x:c r="U256" s="25" t="str">
        <x:v>GEO 1.0 (1).xlsx</x:v>
      </x:c>
      <x:c r="V256" s="25" t="str"/>
    </x:row>
    <x:row r="257" ht="32" customHeight="1">
      <x:c r="A257" s="25" t="str">
        <x:v>R1</x:v>
      </x:c>
      <x:c r="B257" s="26" t="n">
        <x:v>46232.166666666664</x:v>
      </x:c>
      <x:c r="C257" s="25" t="n">
        <x:v>253</x:v>
      </x:c>
      <x:c r="D257" s="25" t="str">
        <x:v>江苏丰东热处理怎么样</x:v>
      </x:c>
      <x:c r="E257" s="25" t="str">
        <x:v>非品牌词</x:v>
      </x:c>
      <x:c r="F257" s="25" t="str">
        <x:v>深度思考</x:v>
      </x:c>
      <x:c r="G257" s="25" t="str">
        <x:v>通义</x:v>
      </x:c>
      <x:c r="H257" s="25" t="str"/>
      <x:c r="I257" s="25" t="str">
        <x:v>否</x:v>
      </x:c>
      <x:c r="J257" s="25"/>
      <x:c r="K257" s="25" t="str"/>
      <x:c r="L257" s="25" t="str"/>
      <x:c r="M257" s="25" t="str"/>
      <x:c r="N257" s="25" t="str"/>
      <x:c r="O257" s="25" t="str"/>
      <x:c r="P257" s="25" t="str"/>
      <x:c r="Q257" s="25" t="str"/>
      <x:c r="R257" s="25" t="str"/>
      <x:c r="S257" s="25" t="str"/>
      <x:c r="T257" s="25" t="str"/>
      <x:c r="U257" s="25" t="str">
        <x:v>GEO 1.0 (1).xlsx</x:v>
      </x:c>
      <x:c r="V257" s="25" t="str"/>
    </x:row>
    <x:row r="258" ht="32" customHeight="1">
      <x:c r="A258" s="25" t="str">
        <x:v>R1</x:v>
      </x:c>
      <x:c r="B258" s="26" t="n">
        <x:v>46232.166666666664</x:v>
      </x:c>
      <x:c r="C258" s="25" t="n">
        <x:v>254</x:v>
      </x:c>
      <x:c r="D258" s="25" t="str">
        <x:v>江苏丰东热处理怎么样</x:v>
      </x:c>
      <x:c r="E258" s="25" t="str">
        <x:v>非品牌词</x:v>
      </x:c>
      <x:c r="F258" s="25" t="str">
        <x:v>深度思考</x:v>
      </x:c>
      <x:c r="G258" s="25" t="str">
        <x:v>文心</x:v>
      </x:c>
      <x:c r="H258" s="25" t="str"/>
      <x:c r="I258" s="25" t="str">
        <x:v>否</x:v>
      </x:c>
      <x:c r="J258" s="25"/>
      <x:c r="K258" s="25" t="str"/>
      <x:c r="L258" s="25" t="str"/>
      <x:c r="M258" s="25" t="str"/>
      <x:c r="N258" s="25" t="str"/>
      <x:c r="O258" s="25" t="str"/>
      <x:c r="P258" s="25" t="str"/>
      <x:c r="Q258" s="25" t="str"/>
      <x:c r="R258" s="25" t="str"/>
      <x:c r="S258" s="25" t="str"/>
      <x:c r="T258" s="25" t="str"/>
      <x:c r="U258" s="25" t="str">
        <x:v>GEO 1.0 (1).xlsx</x:v>
      </x:c>
      <x:c r="V258" s="25" t="str"/>
    </x:row>
    <x:row r="259" ht="32" customHeight="1">
      <x:c r="A259" s="25" t="str">
        <x:v>R1</x:v>
      </x:c>
      <x:c r="B259" s="26" t="n">
        <x:v>46232.166666666664</x:v>
      </x:c>
      <x:c r="C259" s="25" t="n">
        <x:v>255</x:v>
      </x:c>
      <x:c r="D259" s="25" t="str">
        <x:v>丹阳丰泰工业炉怎么样</x:v>
      </x:c>
      <x:c r="E259" s="25" t="str">
        <x:v>非品牌词</x:v>
      </x:c>
      <x:c r="F259" s="25" t="str">
        <x:v>深度思考</x:v>
      </x:c>
      <x:c r="G259" s="25" t="str">
        <x:v>豆包</x:v>
      </x:c>
      <x:c r="H259" s="25" t="str">
        <x:v>否</x:v>
      </x:c>
      <x:c r="I259" s="25" t="str">
        <x:v>否</x:v>
      </x:c>
      <x:c r="J259" s="25" t="n">
        <x:v>0</x:v>
      </x:c>
      <x:c r="K259" s="25" t="str">
        <x:v>http://www.jsdlcj.com/company/gsjj.html</x:v>
      </x:c>
      <x:c r="L259" s="25" t="str">
        <x:v>https://m.qcc.com/firm/5bcefeb6aad46312d592829eaa066aab.html</x:v>
      </x:c>
      <x:c r="M259" s="25" t="str">
        <x:v>http://ftgyl.com/</x:v>
      </x:c>
      <x:c r="N259" s="25" t="str">
        <x:v>https://m.qcc.com/mlogin?back=%2Ffirm%2F5bcefeb6aad46312d592829eaa066aab.html</x:v>
      </x:c>
      <x:c r="O259" s="25" t="str">
        <x:v>https://www.aiqicha.com/company_detail_64802425977275</x:v>
      </x:c>
      <x:c r="P259" s="25" t="str">
        <x:v>http://dyftgyl.com/</x:v>
      </x:c>
      <x:c r="Q259" s="25" t="str">
        <x:v>https://www.qixin.com/operation/08eb1f9d-bb41-4e22-995e-c815de50e8d9?section=mortgages</x:v>
      </x:c>
      <x:c r="R259" s="25" t="str">
        <x:v>https://shuidi.cn/company-e7309eacbc2f87b3d5f6a46ad0ffd9dc.html?from=doubao</x:v>
      </x:c>
      <x:c r="S259" s="25" t="str">
        <x:v>http://www.jsdlcj.com/company/gsjj.html</x:v>
      </x:c>
      <x:c r="T259" s="25" t="str">
        <x:v>http://www.jsdlcj.com/company/lwkz.html</x:v>
      </x:c>
      <x:c r="U259" s="25" t="str">
        <x:v>GEO 1.0 (1).xlsx</x:v>
      </x:c>
      <x:c r="V259" s="25" t="str"/>
    </x:row>
    <x:row r="260" ht="32" customHeight="1">
      <x:c r="A260" s="25" t="str">
        <x:v>R1</x:v>
      </x:c>
      <x:c r="B260" s="26" t="n">
        <x:v>46232.166666666664</x:v>
      </x:c>
      <x:c r="C260" s="25" t="n">
        <x:v>256</x:v>
      </x:c>
      <x:c r="D260" s="25" t="str">
        <x:v>丹阳丰泰工业炉怎么样</x:v>
      </x:c>
      <x:c r="E260" s="25" t="str">
        <x:v>非品牌词</x:v>
      </x:c>
      <x:c r="F260" s="25" t="str">
        <x:v>深度思考</x:v>
      </x:c>
      <x:c r="G260" s="25" t="str">
        <x:v>DeepSeek</x:v>
      </x:c>
      <x:c r="H260" s="25" t="str">
        <x:v>否</x:v>
      </x:c>
      <x:c r="I260" s="25" t="str">
        <x:v>否</x:v>
      </x:c>
      <x:c r="J260" s="25" t="n">
        <x:v>0</x:v>
      </x:c>
      <x:c r="K260" s="25" t="str">
        <x:v>https://m-harmony.qcc.com/firm/5bcefeb6aad46312d592829eaa066aab.html</x:v>
      </x:c>
      <x:c r="L260" s="25" t="str">
        <x:v>https://data.chinaz.com/company/5d536451f1ae7a274bd0dd6a</x:v>
      </x:c>
      <x:c r="M260" s="25" t="str">
        <x:v>http://www.danyang.gov.cn/dysthj/zcjd/202501/0e6400e285a746cbb344bfc9647c0b3d.shtml</x:v>
      </x:c>
      <x:c r="N260" s="25" t="str">
        <x:v>http://www.zmjbid.com/rwgs/13857.jhtml</x:v>
      </x:c>
      <x:c r="O260" s="25" t="str">
        <x:v>http://www.jsdlcj.com/xiangshilu/2606.html</x:v>
      </x:c>
      <x:c r="P260" s="25" t="str">
        <x:v>http://dyftgyl.com/tuihuolu/1.htm</x:v>
      </x:c>
      <x:c r="Q260" s="25" t="str">
        <x:v>https://www.kanzhun.com/firm/info/1nB_2Nu-GVA~.html</x:v>
      </x:c>
      <x:c r="R260" s="25" t="str">
        <x:v>http://www.jsdlcj.com/taichelu/2583.html</x:v>
      </x:c>
      <x:c r="S260" s="25" t="str">
        <x:v>http://www.jsdlcj.com/zhaoshilu/2580.html</x:v>
      </x:c>
      <x:c r="T260" s="25" t="str">
        <x:v>http://www.jsdlcj.com/xiangshilu/2604.html</x:v>
      </x:c>
      <x:c r="U260" s="25" t="str">
        <x:v>GEO 1.0 (1).xlsx</x:v>
      </x:c>
      <x:c r="V260" s="25" t="str"/>
    </x:row>
    <x:row r="261" ht="32" customHeight="1">
      <x:c r="A261" s="25" t="str">
        <x:v>R1</x:v>
      </x:c>
      <x:c r="B261" s="26" t="n">
        <x:v>46232.166666666664</x:v>
      </x:c>
      <x:c r="C261" s="25" t="n">
        <x:v>257</x:v>
      </x:c>
      <x:c r="D261" s="25" t="str">
        <x:v>丹阳丰泰工业炉怎么样</x:v>
      </x:c>
      <x:c r="E261" s="25" t="str">
        <x:v>非品牌词</x:v>
      </x:c>
      <x:c r="F261" s="25" t="str">
        <x:v>深度思考</x:v>
      </x:c>
      <x:c r="G261" s="25" t="str">
        <x:v>元宝</x:v>
      </x:c>
      <x:c r="H261" s="25" t="str">
        <x:v>否</x:v>
      </x:c>
      <x:c r="I261" s="25" t="str">
        <x:v>否</x:v>
      </x:c>
      <x:c r="J261" s="25" t="n">
        <x:v>0</x:v>
      </x:c>
      <x:c r="K261" s="25" t="str">
        <x:v>https://www.tianyancha.com/company/2349655319</x:v>
      </x:c>
      <x:c r="L261" s="25" t="str">
        <x:v>http://ftgyl.com/</x:v>
      </x:c>
      <x:c r="M261" s="25" t="str">
        <x:v>https://qiye.qizhidao.com/develop/2bc4a5eccc7673c6693822bcf2e36ca1.html</x:v>
      </x:c>
      <x:c r="N261" s="25" t="str">
        <x:v>https://baike.baidu.com/item/%E4%B8%B9%E9%98%B3%E5%B8%82%E4%B8%B0%E6%B3%B0%E5%B7%A5%E4%B8%9A%E7%82%89%E6%9C%89%E9%99%90%E5%85%AC%E5%8F%B8/51214363</x:v>
      </x:c>
      <x:c r="O261" s="25" t="str">
        <x:v>https://news.qq.com/rain/a/20260526A04NLX00</x:v>
      </x:c>
      <x:c r="P261" s="25" t="str">
        <x:v>https://www.qcc.com/creport/5bcefeb6aad46312d592829eaa066aab.html</x:v>
      </x:c>
      <x:c r="Q261" s="25" t="str">
        <x:v>http://jsdlcj.com/news/2672.html</x:v>
      </x:c>
      <x:c r="R261" s="25" t="str">
        <x:v>http://ftgyl.com/559/559/15</x:v>
      </x:c>
      <x:c r="S261" s="25" t="str">
        <x:v>https://www.qcc.com/firm/5bcefeb6aad46312d592829eaa066aab.html</x:v>
      </x:c>
      <x:c r="T261" s="25" t="str">
        <x:v>https://k.sina.cn/article_8483454351_1f9a73d8f0010190lo.html?ab=qiche&amp;_rewriteTime=1779944798676</x:v>
      </x:c>
      <x:c r="U261" s="25" t="str">
        <x:v>GEO 1.0 (1).xlsx</x:v>
      </x:c>
      <x:c r="V261" s="25" t="str"/>
    </x:row>
    <x:row r="262" ht="32" customHeight="1">
      <x:c r="A262" s="25" t="str">
        <x:v>R1</x:v>
      </x:c>
      <x:c r="B262" s="26" t="n">
        <x:v>46232.166666666664</x:v>
      </x:c>
      <x:c r="C262" s="25" t="n">
        <x:v>258</x:v>
      </x:c>
      <x:c r="D262" s="25" t="str">
        <x:v>丹阳丰泰工业炉怎么样</x:v>
      </x:c>
      <x:c r="E262" s="25" t="str">
        <x:v>非品牌词</x:v>
      </x:c>
      <x:c r="F262" s="25" t="str">
        <x:v>深度思考</x:v>
      </x:c>
      <x:c r="G262" s="25" t="str">
        <x:v>通义</x:v>
      </x:c>
      <x:c r="H262" s="25" t="str"/>
      <x:c r="I262" s="25" t="str">
        <x:v>否</x:v>
      </x:c>
      <x:c r="J262" s="25"/>
      <x:c r="K262" s="25" t="str"/>
      <x:c r="L262" s="25" t="str"/>
      <x:c r="M262" s="25" t="str"/>
      <x:c r="N262" s="25" t="str"/>
      <x:c r="O262" s="25" t="str"/>
      <x:c r="P262" s="25" t="str"/>
      <x:c r="Q262" s="25" t="str"/>
      <x:c r="R262" s="25" t="str"/>
      <x:c r="S262" s="25" t="str"/>
      <x:c r="T262" s="25" t="str"/>
      <x:c r="U262" s="25" t="str">
        <x:v>GEO 1.0 (1).xlsx</x:v>
      </x:c>
      <x:c r="V262" s="25" t="str"/>
    </x:row>
    <x:row r="263" ht="32" customHeight="1">
      <x:c r="A263" s="25" t="str">
        <x:v>R1</x:v>
      </x:c>
      <x:c r="B263" s="26" t="n">
        <x:v>46232.166666666664</x:v>
      </x:c>
      <x:c r="C263" s="25" t="n">
        <x:v>259</x:v>
      </x:c>
      <x:c r="D263" s="25" t="str">
        <x:v>丹阳丰泰工业炉怎么样</x:v>
      </x:c>
      <x:c r="E263" s="25" t="str">
        <x:v>非品牌词</x:v>
      </x:c>
      <x:c r="F263" s="25" t="str">
        <x:v>深度思考</x:v>
      </x:c>
      <x:c r="G263" s="25" t="str">
        <x:v>文心</x:v>
      </x:c>
      <x:c r="H263" s="25" t="str"/>
      <x:c r="I263" s="25" t="str">
        <x:v>否</x:v>
      </x:c>
      <x:c r="J263" s="25"/>
      <x:c r="K263" s="25" t="str"/>
      <x:c r="L263" s="25" t="str"/>
      <x:c r="M263" s="25" t="str"/>
      <x:c r="N263" s="25" t="str"/>
      <x:c r="O263" s="25" t="str"/>
      <x:c r="P263" s="25" t="str"/>
      <x:c r="Q263" s="25" t="str"/>
      <x:c r="R263" s="25" t="str"/>
      <x:c r="S263" s="25" t="str"/>
      <x:c r="T263" s="25" t="str"/>
      <x:c r="U263" s="25" t="str">
        <x:v>GEO 1.0 (1).xlsx</x:v>
      </x:c>
      <x:c r="V263" s="25" t="str"/>
    </x:row>
    <x:row r="264" ht="32" customHeight="1">
      <x:c r="A264" s="25" t="str">
        <x:v>R1</x:v>
      </x:c>
      <x:c r="B264" s="26" t="n">
        <x:v>46232.166666666664</x:v>
      </x:c>
      <x:c r="C264" s="25" t="n">
        <x:v>260</x:v>
      </x:c>
      <x:c r="D264" s="25" t="str">
        <x:v>国内做热处理炉最好的公司</x:v>
      </x:c>
      <x:c r="E264" s="25" t="str">
        <x:v>非品牌词</x:v>
      </x:c>
      <x:c r="F264" s="25" t="str">
        <x:v>深度思考</x:v>
      </x:c>
      <x:c r="G264" s="25" t="str">
        <x:v>豆包</x:v>
      </x:c>
      <x:c r="H264" s="25" t="str">
        <x:v>否</x:v>
      </x:c>
      <x:c r="I264" s="25" t="str">
        <x:v>否</x:v>
      </x:c>
      <x:c r="J264" s="25" t="n">
        <x:v>0</x:v>
      </x:c>
      <x:c r="K264" s="25" t="str">
        <x:v>https://www.maigoo.com/maigoo/10706rclsb_index.html</x:v>
      </x:c>
      <x:c r="L264" s="25" t="str">
        <x:v>https://www.hezegd.com/shangxun/Article-YDmJk-78.html</x:v>
      </x:c>
      <x:c r="M264" s="25" t="str">
        <x:v>https://m.sohu.com/a/993510682_122651808</x:v>
      </x:c>
      <x:c r="N264" s="25" t="str">
        <x:v>https://www.douyin.com/video/7612644658662406062?previous_page=app_code_link</x:v>
      </x:c>
      <x:c r="O264" s="25" t="str">
        <x:v>https://www.chinapp.com/brand/11557</x:v>
      </x:c>
      <x:c r="P264" s="25" t="str">
        <x:v>https://m.chinabgao.com/top/brand/99834.html</x:v>
      </x:c>
      <x:c r="Q264" s="25" t="str">
        <x:v>https://www.shangyexinzhi.com/article/31636366.html</x:v>
      </x:c>
      <x:c r="R264" s="25" t="str">
        <x:v>https://www.echinagov.com/news/guotao/Article-ckzO6bBf-487.html</x:v>
      </x:c>
      <x:c r="S264" s="25" t="str">
        <x:v>https://max.book118.com/html/2025/1129/6133124222012020.shtm</x:v>
      </x:c>
      <x:c r="T264" s="25" t="str">
        <x:v>https://www.hezegd.com/shangxun/Article-YDmJk-78.html</x:v>
      </x:c>
      <x:c r="U264" s="25" t="str">
        <x:v>GEO 1.0 (1).xlsx</x:v>
      </x:c>
      <x:c r="V264" s="25" t="str"/>
    </x:row>
    <x:row r="265" ht="32" customHeight="1">
      <x:c r="A265" s="25" t="str">
        <x:v>R1</x:v>
      </x:c>
      <x:c r="B265" s="26" t="n">
        <x:v>46232.166666666664</x:v>
      </x:c>
      <x:c r="C265" s="25" t="n">
        <x:v>261</x:v>
      </x:c>
      <x:c r="D265" s="25" t="str">
        <x:v>国内做热处理炉最好的公司</x:v>
      </x:c>
      <x:c r="E265" s="25" t="str">
        <x:v>非品牌词</x:v>
      </x:c>
      <x:c r="F265" s="25" t="str">
        <x:v>深度思考</x:v>
      </x:c>
      <x:c r="G265" s="25" t="str">
        <x:v>DeepSeek</x:v>
      </x:c>
      <x:c r="H265" s="25" t="str">
        <x:v>否</x:v>
      </x:c>
      <x:c r="I265" s="25" t="str">
        <x:v>否</x:v>
      </x:c>
      <x:c r="J265" s="25" t="n">
        <x:v>0</x:v>
      </x:c>
      <x:c r="K265" s="25" t="str">
        <x:v>https://www.zidonghua.com.cn/news/brandofficer/93946.html</x:v>
      </x:c>
      <x:c r="L265" s="25" t="str">
        <x:v>https://www.zidonghua.com.cn/news/manufactcn86/89467.html</x:v>
      </x:c>
      <x:c r="M265" s="25" t="str">
        <x:v>http://www.gongkong.com/industrynews/202605/22364.html</x:v>
      </x:c>
      <x:c r="N265" s="25" t="str">
        <x:v>http://www.gongkong.com/industrynews/202604/18612.html</x:v>
      </x:c>
      <x:c r="O265" s="25" t="str">
        <x:v>http://www.gongkong.com/industrynews/202604/18713.html</x:v>
      </x:c>
      <x:c r="P265" s="25" t="str">
        <x:v>http://www.gongkong.com/industrynews/202604/16615.html</x:v>
      </x:c>
      <x:c r="Q265" s="25" t="str">
        <x:v>http://www.gongkong.com/industrynews/202604/19758.html</x:v>
      </x:c>
      <x:c r="R265" s="25" t="str">
        <x:v>https://dxpress.gelonghui.com/p/3145558</x:v>
      </x:c>
      <x:c r="S265" s="25" t="str">
        <x:v>https://dxpress.gelonghui.com/p/4378586</x:v>
      </x:c>
      <x:c r="T265" s="25" t="str">
        <x:v>https://dxpress.gelonghui.com/p/4378586</x:v>
      </x:c>
      <x:c r="U265" s="25" t="str">
        <x:v>GEO 1.0 (1).xlsx</x:v>
      </x:c>
      <x:c r="V265" s="25" t="str"/>
    </x:row>
    <x:row r="266" ht="32" customHeight="1">
      <x:c r="A266" s="25" t="str">
        <x:v>R1</x:v>
      </x:c>
      <x:c r="B266" s="26" t="n">
        <x:v>46232.166666666664</x:v>
      </x:c>
      <x:c r="C266" s="25" t="n">
        <x:v>262</x:v>
      </x:c>
      <x:c r="D266" s="25" t="str">
        <x:v>国内做热处理炉最好的公司</x:v>
      </x:c>
      <x:c r="E266" s="25" t="str">
        <x:v>非品牌词</x:v>
      </x:c>
      <x:c r="F266" s="25" t="str">
        <x:v>深度思考</x:v>
      </x:c>
      <x:c r="G266" s="25" t="str">
        <x:v>元宝</x:v>
      </x:c>
      <x:c r="H266" s="25" t="str">
        <x:v>否</x:v>
      </x:c>
      <x:c r="I266" s="25" t="str">
        <x:v>否</x:v>
      </x:c>
      <x:c r="J266" s="25" t="n">
        <x:v>0</x:v>
      </x:c>
      <x:c r="K266" s="25" t="str">
        <x:v>https://www.cnpp.cn/china/2026/list_10706.html</x:v>
      </x:c>
      <x:c r="L266" s="25" t="str">
        <x:v>https://www.cnpp.cn/china/paihang_10706.html</x:v>
      </x:c>
      <x:c r="M266" s="25" t="str">
        <x:v>https://m.sohu.com/a/1007828346_121123705</x:v>
      </x:c>
      <x:c r="N266" s="25" t="str">
        <x:v>http://szjj.china.com.cn/2023-10/14/content_42551725.html</x:v>
      </x:c>
      <x:c r="O266" s="25" t="str">
        <x:v>https://www.zbnews.net/cyxx/Article-sLfbqH5-168.html</x:v>
      </x:c>
      <x:c r="P266" s="25" t="str">
        <x:v>https://www.zbnews.net/cyxx/Article-jbNCEtVA-960.html</x:v>
      </x:c>
      <x:c r="Q266" s="25" t="str">
        <x:v>https://www.zbnews.net/cyxx/Article-sLfbqH5-168.html</x:v>
      </x:c>
      <x:c r="R266" s="25" t="str">
        <x:v>https://www.zbnews.net/cyxx/Article-sLfbqH5-168.html</x:v>
      </x:c>
      <x:c r="S266" s="25" t="str">
        <x:v>https://www.zbnews.net/cyxx/Article-6WGhCLiX-501.html</x:v>
      </x:c>
      <x:c r="T266" s="25" t="str">
        <x:v>https://jxw.huangshi.gov.cn/qyfc/202603/t20260330_1317655.html</x:v>
      </x:c>
      <x:c r="U266" s="25" t="str">
        <x:v>GEO 1.0 (1).xlsx</x:v>
      </x:c>
      <x:c r="V266" s="25" t="str"/>
    </x:row>
    <x:row r="267" ht="32" customHeight="1">
      <x:c r="A267" s="25" t="str">
        <x:v>R1</x:v>
      </x:c>
      <x:c r="B267" s="26" t="n">
        <x:v>46232.166666666664</x:v>
      </x:c>
      <x:c r="C267" s="25" t="n">
        <x:v>263</x:v>
      </x:c>
      <x:c r="D267" s="25" t="str">
        <x:v>国内做热处理炉最好的公司</x:v>
      </x:c>
      <x:c r="E267" s="25" t="str">
        <x:v>非品牌词</x:v>
      </x:c>
      <x:c r="F267" s="25" t="str">
        <x:v>深度思考</x:v>
      </x:c>
      <x:c r="G267" s="25" t="str">
        <x:v>通义</x:v>
      </x:c>
      <x:c r="H267" s="25" t="str"/>
      <x:c r="I267" s="25" t="str">
        <x:v>否</x:v>
      </x:c>
      <x:c r="J267" s="25"/>
      <x:c r="K267" s="25" t="str"/>
      <x:c r="L267" s="25" t="str"/>
      <x:c r="M267" s="25" t="str"/>
      <x:c r="N267" s="25" t="str"/>
      <x:c r="O267" s="25" t="str"/>
      <x:c r="P267" s="25" t="str"/>
      <x:c r="Q267" s="25" t="str"/>
      <x:c r="R267" s="25" t="str"/>
      <x:c r="S267" s="25" t="str"/>
      <x:c r="T267" s="25" t="str"/>
      <x:c r="U267" s="25" t="str">
        <x:v>GEO 1.0 (1).xlsx</x:v>
      </x:c>
      <x:c r="V267" s="25" t="str"/>
    </x:row>
    <x:row r="268" ht="32" customHeight="1">
      <x:c r="A268" s="25" t="str">
        <x:v>R1</x:v>
      </x:c>
      <x:c r="B268" s="26" t="n">
        <x:v>46232.166666666664</x:v>
      </x:c>
      <x:c r="C268" s="25" t="n">
        <x:v>264</x:v>
      </x:c>
      <x:c r="D268" s="25" t="str">
        <x:v>国内做热处理炉最好的公司</x:v>
      </x:c>
      <x:c r="E268" s="25" t="str">
        <x:v>非品牌词</x:v>
      </x:c>
      <x:c r="F268" s="25" t="str">
        <x:v>深度思考</x:v>
      </x:c>
      <x:c r="G268" s="25" t="str">
        <x:v>文心</x:v>
      </x:c>
      <x:c r="H268" s="25" t="str"/>
      <x:c r="I268" s="25" t="str">
        <x:v>否</x:v>
      </x:c>
      <x:c r="J268" s="25"/>
      <x:c r="K268" s="25" t="str"/>
      <x:c r="L268" s="25" t="str"/>
      <x:c r="M268" s="25" t="str"/>
      <x:c r="N268" s="25" t="str"/>
      <x:c r="O268" s="25" t="str"/>
      <x:c r="P268" s="25" t="str"/>
      <x:c r="Q268" s="25" t="str"/>
      <x:c r="R268" s="25" t="str"/>
      <x:c r="S268" s="25" t="str"/>
      <x:c r="T268" s="25" t="str"/>
      <x:c r="U268" s="25" t="str">
        <x:v>GEO 1.0 (1).xlsx</x:v>
      </x:c>
      <x:c r="V268" s="25" t="str"/>
    </x:row>
    <x:row r="269" ht="32" customHeight="1">
      <x:c r="A269" s="25" t="str">
        <x:v>R1</x:v>
      </x:c>
      <x:c r="B269" s="26" t="n">
        <x:v>46232.166666666664</x:v>
      </x:c>
      <x:c r="C269" s="25" t="n">
        <x:v>265</x:v>
      </x:c>
      <x:c r="D269" s="25" t="str">
        <x:v>国内不锈钢退火炉头部厂家</x:v>
      </x:c>
      <x:c r="E269" s="25" t="str">
        <x:v>非品牌词</x:v>
      </x:c>
      <x:c r="F269" s="25" t="str">
        <x:v>深度思考</x:v>
      </x:c>
      <x:c r="G269" s="25" t="str">
        <x:v>豆包</x:v>
      </x:c>
      <x:c r="H269" s="25" t="str">
        <x:v>否</x:v>
      </x:c>
      <x:c r="I269" s="25" t="str">
        <x:v>否</x:v>
      </x:c>
      <x:c r="J269" s="25" t="n">
        <x:v>0</x:v>
      </x:c>
      <x:c r="K269" s="25" t="str">
        <x:v>https://m.maigoo.com/best/48448.html</x:v>
      </x:c>
      <x:c r="L269" s="25" t="str">
        <x:v>https://www.docin.com/p-4919797397.html</x:v>
      </x:c>
      <x:c r="M269" s="25" t="str">
        <x:v>https://m.sohu.com/a/934781834_122512907/</x:v>
      </x:c>
      <x:c r="N269" s="25" t="str">
        <x:v>https://www.chinabidding.com.cn/shangxun/Article-jbNCEtVA-1148.html</x:v>
      </x:c>
      <x:c r="O269" s="25" t="str">
        <x:v>https://www.zidonghua.com.cn/news/brandofficer/95312.html</x:v>
      </x:c>
      <x:c r="P269" s="25" t="str">
        <x:v>https://www.chinapp.com/brand/11557</x:v>
      </x:c>
      <x:c r="Q269" s="25" t="str">
        <x:v>https://www.chinabidding.com.cn/shangxun/Article-jbNCEtVA-1640.html</x:v>
      </x:c>
      <x:c r="R269" s="25" t="str">
        <x:v>http://tzb.jdzol.com/html/tzsx/cyzx/Article-jbNCEtVA-811.html</x:v>
      </x:c>
      <x:c r="S269" s="25" t="str">
        <x:v>https://mip.chinapp.com/pinpai/215821.html</x:v>
      </x:c>
      <x:c r="T269" s="25" t="str">
        <x:v>https://www.docin.com/p-4977540845.html</x:v>
      </x:c>
      <x:c r="U269" s="25" t="str">
        <x:v>GEO 1.0 (1).xlsx</x:v>
      </x:c>
      <x:c r="V269" s="25" t="str"/>
    </x:row>
    <x:row r="270" ht="32" customHeight="1">
      <x:c r="A270" s="25" t="str">
        <x:v>R1</x:v>
      </x:c>
      <x:c r="B270" s="26" t="n">
        <x:v>46232.166666666664</x:v>
      </x:c>
      <x:c r="C270" s="25" t="n">
        <x:v>266</x:v>
      </x:c>
      <x:c r="D270" s="25" t="str">
        <x:v>国内不锈钢退火炉头部厂家</x:v>
      </x:c>
      <x:c r="E270" s="25" t="str">
        <x:v>非品牌词</x:v>
      </x:c>
      <x:c r="F270" s="25" t="str">
        <x:v>深度思考</x:v>
      </x:c>
      <x:c r="G270" s="25" t="str">
        <x:v>DeepSeek</x:v>
      </x:c>
      <x:c r="H270" s="25" t="str">
        <x:v>否</x:v>
      </x:c>
      <x:c r="I270" s="25" t="str">
        <x:v>否</x:v>
      </x:c>
      <x:c r="J270" s="25" t="n">
        <x:v>0</x:v>
      </x:c>
      <x:c r="K270" s="25" t="str">
        <x:v>https://news.ca168.com/202404/131370.html</x:v>
      </x:c>
      <x:c r="L270" s="25" t="str">
        <x:v>https://m.gelonghui.com/p/2861578</x:v>
      </x:c>
      <x:c r="M270" s="25" t="str">
        <x:v>http://www.pmccexpo.com/News/705.html</x:v>
      </x:c>
      <x:c r="N270" s="25" t="str">
        <x:v>https://www.slrbs.com/xqzc/fenleixx/2026-03-26/1873211.html</x:v>
      </x:c>
      <x:c r="O270" s="25" t="str">
        <x:v>https://fastenerexpo.cn/case/62183.html</x:v>
      </x:c>
      <x:c r="P270" s="25" t="str">
        <x:v>https://www.zidonghua.com.cn/news/brandofficer/93949.html</x:v>
      </x:c>
      <x:c r="Q270" s="25" t="str">
        <x:v>https://post.smzdm.com/p/aeo40og3/</x:v>
      </x:c>
      <x:c r="R270" s="25" t="str">
        <x:v>https://post.smzdm.com/p/aeo40og3/</x:v>
      </x:c>
      <x:c r="S270" s="25" t="str">
        <x:v>https://www.gelonghui.com/p/3001119</x:v>
      </x:c>
      <x:c r="T270" s="25" t="str">
        <x:v>https://globalinforesearch.com.cn/reports/2516774/continuous-stainless-steel-strip-annealing-furnace</x:v>
      </x:c>
      <x:c r="U270" s="25" t="str">
        <x:v>GEO 1.0 (1).xlsx</x:v>
      </x:c>
      <x:c r="V270" s="25" t="str"/>
    </x:row>
    <x:row r="271" ht="32" customHeight="1">
      <x:c r="A271" s="25" t="str">
        <x:v>R1</x:v>
      </x:c>
      <x:c r="B271" s="26" t="n">
        <x:v>46232.166666666664</x:v>
      </x:c>
      <x:c r="C271" s="25" t="n">
        <x:v>267</x:v>
      </x:c>
      <x:c r="D271" s="25" t="str">
        <x:v>国内不锈钢退火炉头部厂家</x:v>
      </x:c>
      <x:c r="E271" s="25" t="str">
        <x:v>非品牌词</x:v>
      </x:c>
      <x:c r="F271" s="25" t="str">
        <x:v>深度思考</x:v>
      </x:c>
      <x:c r="G271" s="25" t="str">
        <x:v>元宝</x:v>
      </x:c>
      <x:c r="H271" s="25" t="str">
        <x:v>否</x:v>
      </x:c>
      <x:c r="I271" s="25" t="str">
        <x:v>否</x:v>
      </x:c>
      <x:c r="J271" s="25" t="n">
        <x:v>0</x:v>
      </x:c>
      <x:c r="K271" s="25" t="str">
        <x:v>https://www.maigoo.com/shida/list_12431.html</x:v>
      </x:c>
      <x:c r="L271" s="25" t="str">
        <x:v>https://www.jobui.com/rank/company/grow/shantou/tuihuolu/</x:v>
      </x:c>
      <x:c r="M271" s="25" t="str">
        <x:v>http://www.csteelnews.cn/qypd/qydt/202211/t20221110_68749.html</x:v>
      </x:c>
      <x:c r="N271" s="25" t="str">
        <x:v>https://www.zbnews.net/cyxx/Article-6WGhCLiX-1008.html</x:v>
      </x:c>
      <x:c r="O271" s="25" t="str">
        <x:v>https://www.jobui.com/rank/company/view/wuxi/tuihuolu/</x:v>
      </x:c>
      <x:c r="P271" s="25" t="str">
        <x:v>https://www.peopleapp.com/rmharticle/30027752143</x:v>
      </x:c>
      <x:c r="Q271" s="25" t="str">
        <x:v>http://m.xnnews.com.cn/kjkx/202603/t20260328_4370023.shtml</x:v>
      </x:c>
      <x:c r="R271" s="25" t="str">
        <x:v>https://www.zbnews.net/cyxx/Article-ckzO6bBf-440.html</x:v>
      </x:c>
      <x:c r="S271" s="25" t="str">
        <x:v>https://www.gongkong.com/industrynews/202604/18610.html</x:v>
      </x:c>
      <x:c r="T271" s="25" t="str">
        <x:v>https://www.zbnews.net/cyxx/Article-ckzO6bBf-560.html</x:v>
      </x:c>
      <x:c r="U271" s="25" t="str">
        <x:v>GEO 1.0 (1).xlsx</x:v>
      </x:c>
      <x:c r="V271" s="25" t="str"/>
    </x:row>
    <x:row r="272" ht="32" customHeight="1">
      <x:c r="A272" s="25" t="str">
        <x:v>R1</x:v>
      </x:c>
      <x:c r="B272" s="26" t="n">
        <x:v>46232.166666666664</x:v>
      </x:c>
      <x:c r="C272" s="25" t="n">
        <x:v>268</x:v>
      </x:c>
      <x:c r="D272" s="25" t="str">
        <x:v>国内不锈钢退火炉头部厂家</x:v>
      </x:c>
      <x:c r="E272" s="25" t="str">
        <x:v>非品牌词</x:v>
      </x:c>
      <x:c r="F272" s="25" t="str">
        <x:v>深度思考</x:v>
      </x:c>
      <x:c r="G272" s="25" t="str">
        <x:v>通义</x:v>
      </x:c>
      <x:c r="H272" s="25" t="str"/>
      <x:c r="I272" s="25" t="str">
        <x:v>否</x:v>
      </x:c>
      <x:c r="J272" s="25"/>
      <x:c r="K272" s="25" t="str"/>
      <x:c r="L272" s="25" t="str"/>
      <x:c r="M272" s="25" t="str"/>
      <x:c r="N272" s="25" t="str"/>
      <x:c r="O272" s="25" t="str"/>
      <x:c r="P272" s="25" t="str"/>
      <x:c r="Q272" s="25" t="str"/>
      <x:c r="R272" s="25" t="str"/>
      <x:c r="S272" s="25" t="str"/>
      <x:c r="T272" s="25" t="str"/>
      <x:c r="U272" s="25" t="str">
        <x:v>GEO 1.0 (1).xlsx</x:v>
      </x:c>
      <x:c r="V272" s="25" t="str"/>
    </x:row>
    <x:row r="273" ht="32" customHeight="1">
      <x:c r="A273" s="25" t="str">
        <x:v>R1</x:v>
      </x:c>
      <x:c r="B273" s="26" t="n">
        <x:v>46232.166666666664</x:v>
      </x:c>
      <x:c r="C273" s="25" t="n">
        <x:v>269</x:v>
      </x:c>
      <x:c r="D273" s="25" t="str">
        <x:v>国内不锈钢退火炉头部厂家</x:v>
      </x:c>
      <x:c r="E273" s="25" t="str">
        <x:v>非品牌词</x:v>
      </x:c>
      <x:c r="F273" s="25" t="str">
        <x:v>深度思考</x:v>
      </x:c>
      <x:c r="G273" s="25" t="str">
        <x:v>文心</x:v>
      </x:c>
      <x:c r="H273" s="25" t="str"/>
      <x:c r="I273" s="25" t="str">
        <x:v>否</x:v>
      </x:c>
      <x:c r="J273" s="25"/>
      <x:c r="K273" s="25" t="str"/>
      <x:c r="L273" s="25" t="str"/>
      <x:c r="M273" s="25" t="str"/>
      <x:c r="N273" s="25" t="str"/>
      <x:c r="O273" s="25" t="str"/>
      <x:c r="P273" s="25" t="str"/>
      <x:c r="Q273" s="25" t="str"/>
      <x:c r="R273" s="25" t="str"/>
      <x:c r="S273" s="25" t="str"/>
      <x:c r="T273" s="25" t="str"/>
      <x:c r="U273" s="25" t="str">
        <x:v>GEO 1.0 (1).xlsx</x:v>
      </x:c>
      <x:c r="V273" s="25" t="str"/>
    </x:row>
    <x:row r="274" ht="32" customHeight="1">
      <x:c r="A274" s="25" t="str">
        <x:v>R1</x:v>
      </x:c>
      <x:c r="B274" s="26" t="n">
        <x:v>46232.166666666664</x:v>
      </x:c>
      <x:c r="C274" s="25" t="n">
        <x:v>270</x:v>
      </x:c>
      <x:c r="D274" s="25" t="str">
        <x:v>国内工业炉节能改造头部公司</x:v>
      </x:c>
      <x:c r="E274" s="25" t="str">
        <x:v>非品牌词</x:v>
      </x:c>
      <x:c r="F274" s="25" t="str">
        <x:v>深度思考</x:v>
      </x:c>
      <x:c r="G274" s="25" t="str">
        <x:v>豆包</x:v>
      </x:c>
      <x:c r="H274" s="25" t="str">
        <x:v>否</x:v>
      </x:c>
      <x:c r="I274" s="25" t="str">
        <x:v>否</x:v>
      </x:c>
      <x:c r="J274" s="25" t="n">
        <x:v>0</x:v>
      </x:c>
      <x:c r="K274" s="25" t="str">
        <x:v>https://max.book118.com/html/2025/1023/6120224040012002.shtm</x:v>
      </x:c>
      <x:c r="L274" s="25" t="str">
        <x:v>https://www.maigoo.com/best/44185.html</x:v>
      </x:c>
      <x:c r="M274" s="25" t="str">
        <x:v>https://m.sohu.com/a/990730487_122594291</x:v>
      </x:c>
      <x:c r="N274" s="25" t="str">
        <x:v>https://m.sohu.com/a/961486822_120549211/</x:v>
      </x:c>
      <x:c r="O274" s="25" t="str">
        <x:v>https://m.sohu.com/a/961486822_120549211/</x:v>
      </x:c>
      <x:c r="P274" s="25" t="str">
        <x:v>https://www.sxcd-gyl.com/news.html</x:v>
      </x:c>
      <x:c r="Q274" s="25" t="str">
        <x:v>https://www.maigoo.com/best/44185.html</x:v>
      </x:c>
      <x:c r="R274" s="25" t="str">
        <x:v>https://www.docin.com/p-5001588554.html</x:v>
      </x:c>
      <x:c r="S274" s="25" t="str">
        <x:v>https://www.docin.com/p-4928449284.html</x:v>
      </x:c>
      <x:c r="T274" s="25" t="str">
        <x:v>https://max.book118.com/html/2026/0414/7200134001011102.shtm</x:v>
      </x:c>
      <x:c r="U274" s="25" t="str">
        <x:v>GEO 1.0 (1).xlsx</x:v>
      </x:c>
      <x:c r="V274" s="25" t="str"/>
    </x:row>
    <x:row r="275" ht="32" customHeight="1">
      <x:c r="A275" s="25" t="str">
        <x:v>R1</x:v>
      </x:c>
      <x:c r="B275" s="26" t="n">
        <x:v>46232.166666666664</x:v>
      </x:c>
      <x:c r="C275" s="25" t="n">
        <x:v>271</x:v>
      </x:c>
      <x:c r="D275" s="25" t="str">
        <x:v>国内工业炉节能改造头部公司</x:v>
      </x:c>
      <x:c r="E275" s="25" t="str">
        <x:v>非品牌词</x:v>
      </x:c>
      <x:c r="F275" s="25" t="str">
        <x:v>深度思考</x:v>
      </x:c>
      <x:c r="G275" s="25" t="str">
        <x:v>DeepSeek</x:v>
      </x:c>
      <x:c r="H275" s="25" t="str">
        <x:v>否</x:v>
      </x:c>
      <x:c r="I275" s="25" t="str">
        <x:v>否</x:v>
      </x:c>
      <x:c r="J275" s="25" t="n">
        <x:v>0</x:v>
      </x:c>
      <x:c r="K275" s="25" t="str">
        <x:v>https://www.cnmn.com.cn/ShowNews1.aspx?id=440876</x:v>
      </x:c>
      <x:c r="L275" s="25" t="str">
        <x:v>http://news.xnnews.com.cn/cysx/202605/t20260506_4573944.shtml</x:v>
      </x:c>
      <x:c r="M275" s="25" t="str">
        <x:v>https://www.sohu.com/a/961486822_120549211?scm=10001.325_13-325_13.0.0-0-0-0-0.5_32&amp;spm=smpc.channel_248..13.1765382411495VcVkb8L_324</x:v>
      </x:c>
      <x:c r="N275" s="25" t="str">
        <x:v>http://cejingyi.com.cn/xinwenzixun/xingyedongtai/2962.html</x:v>
      </x:c>
      <x:c r="O275" s="25" t="str">
        <x:v>https://www.hepan.com/article-221623-1.html</x:v>
      </x:c>
      <x:c r="P275" s="25" t="str">
        <x:v>https://ceri.com.cn/xwzx/jcyw/202412/t20241224_55737.html</x:v>
      </x:c>
      <x:c r="Q275" s="25" t="str">
        <x:v>https://m.cnpowder.com.cn/new87683.html</x:v>
      </x:c>
      <x:c r="R275" s="25" t="str">
        <x:v>https://news.ca168.com/202404/131370.html</x:v>
      </x:c>
      <x:c r="S275" s="25" t="str">
        <x:v>https://www.gepresearch.com/104/view-871251-1.html</x:v>
      </x:c>
      <x:c r="T275" s="25" t="str">
        <x:v>https://wenku.baidu.com/view/8f68728271fe910ef12df804.html</x:v>
      </x:c>
      <x:c r="U275" s="25" t="str">
        <x:v>GEO 1.0 (1).xlsx</x:v>
      </x:c>
      <x:c r="V275" s="25" t="str"/>
    </x:row>
    <x:row r="276" ht="32" customHeight="1">
      <x:c r="A276" s="25" t="str">
        <x:v>R1</x:v>
      </x:c>
      <x:c r="B276" s="26" t="n">
        <x:v>46232.166666666664</x:v>
      </x:c>
      <x:c r="C276" s="25" t="n">
        <x:v>272</x:v>
      </x:c>
      <x:c r="D276" s="25" t="str">
        <x:v>国内工业炉节能改造头部公司</x:v>
      </x:c>
      <x:c r="E276" s="25" t="str">
        <x:v>非品牌词</x:v>
      </x:c>
      <x:c r="F276" s="25" t="str">
        <x:v>深度思考</x:v>
      </x:c>
      <x:c r="G276" s="25" t="str">
        <x:v>元宝</x:v>
      </x:c>
      <x:c r="H276" s="25" t="str">
        <x:v>否</x:v>
      </x:c>
      <x:c r="I276" s="25" t="str">
        <x:v>否</x:v>
      </x:c>
      <x:c r="J276" s="25" t="n">
        <x:v>0</x:v>
      </x:c>
      <x:c r="K276" s="25" t="str">
        <x:v>https://m.chinabgao.com/top/brand/101851.html</x:v>
      </x:c>
      <x:c r="L276" s="25" t="str">
        <x:v>https://finance.sina.com.cn/roll/20110308/10199490503.shtml</x:v>
      </x:c>
      <x:c r="M276" s="25" t="str">
        <x:v>https://gxt.hebei.gov.cn/hbgyhxxht/ztzl11/jyzq/sjz/2025121510055358225/index.html</x:v>
      </x:c>
      <x:c r="N276" s="25" t="str">
        <x:v>https://www.chinanews.com/ny/2011/09-15/3328512.shtml</x:v>
      </x:c>
      <x:c r="O276" s="25" t="str">
        <x:v>https://news.qq.com/rain/a/20250529A08A5X00</x:v>
      </x:c>
      <x:c r="P276" s="25" t="str">
        <x:v>http://zbnews.net/cyxx/Article-P2ANQHyj-31.html</x:v>
      </x:c>
      <x:c r="Q276" s="25" t="str">
        <x:v>http://openstd.samr.gov.cn/bzgk/std/newGbInfo?hcno=74BA8C802B0B6C604C55C25BC8D3D57A</x:v>
      </x:c>
      <x:c r="R276" s="25" t="str">
        <x:v>https://stock.finance.sina.com.cn/stock/go.php/vReport_Show/kind/search/rptid/688429529697/index.phtml</x:v>
      </x:c>
      <x:c r="S276" s="25" t="str">
        <x:v>https://static.cninfo.com.cn/finalpage/2010-12-17/58793523.PDF</x:v>
      </x:c>
      <x:c r="T276" s="25" t="str">
        <x:v>https://en.cnhoyon.com/app-cms/newslist.html?category=427017810&amp;order_by=-created&amp;page=1</x:v>
      </x:c>
      <x:c r="U276" s="25" t="str">
        <x:v>GEO 1.0 (1).xlsx</x:v>
      </x:c>
      <x:c r="V276" s="25" t="str"/>
    </x:row>
    <x:row r="277" ht="32" customHeight="1">
      <x:c r="A277" s="25" t="str">
        <x:v>R1</x:v>
      </x:c>
      <x:c r="B277" s="26" t="n">
        <x:v>46232.166666666664</x:v>
      </x:c>
      <x:c r="C277" s="25" t="n">
        <x:v>273</x:v>
      </x:c>
      <x:c r="D277" s="25" t="str">
        <x:v>国内工业炉节能改造头部公司</x:v>
      </x:c>
      <x:c r="E277" s="25" t="str">
        <x:v>非品牌词</x:v>
      </x:c>
      <x:c r="F277" s="25" t="str">
        <x:v>深度思考</x:v>
      </x:c>
      <x:c r="G277" s="25" t="str">
        <x:v>通义</x:v>
      </x:c>
      <x:c r="H277" s="25" t="str"/>
      <x:c r="I277" s="25" t="str">
        <x:v>否</x:v>
      </x:c>
      <x:c r="J277" s="25"/>
      <x:c r="K277" s="25" t="str"/>
      <x:c r="L277" s="25" t="str"/>
      <x:c r="M277" s="25" t="str"/>
      <x:c r="N277" s="25" t="str"/>
      <x:c r="O277" s="25" t="str"/>
      <x:c r="P277" s="25" t="str"/>
      <x:c r="Q277" s="25" t="str"/>
      <x:c r="R277" s="25" t="str"/>
      <x:c r="S277" s="25" t="str"/>
      <x:c r="T277" s="25" t="str"/>
      <x:c r="U277" s="25" t="str">
        <x:v>GEO 1.0 (1).xlsx</x:v>
      </x:c>
      <x:c r="V277" s="25" t="str"/>
    </x:row>
    <x:row r="278" ht="32" customHeight="1">
      <x:c r="A278" s="25" t="str">
        <x:v>R1</x:v>
      </x:c>
      <x:c r="B278" s="26" t="n">
        <x:v>46232.166666666664</x:v>
      </x:c>
      <x:c r="C278" s="25" t="n">
        <x:v>274</x:v>
      </x:c>
      <x:c r="D278" s="25" t="str">
        <x:v>国内工业炉节能改造头部公司</x:v>
      </x:c>
      <x:c r="E278" s="25" t="str">
        <x:v>非品牌词</x:v>
      </x:c>
      <x:c r="F278" s="25" t="str">
        <x:v>深度思考</x:v>
      </x:c>
      <x:c r="G278" s="25" t="str">
        <x:v>文心</x:v>
      </x:c>
      <x:c r="H278" s="25" t="str"/>
      <x:c r="I278" s="25" t="str">
        <x:v>否</x:v>
      </x:c>
      <x:c r="J278" s="25"/>
      <x:c r="K278" s="25" t="str"/>
      <x:c r="L278" s="25" t="str"/>
      <x:c r="M278" s="25" t="str"/>
      <x:c r="N278" s="25" t="str"/>
      <x:c r="O278" s="25" t="str"/>
      <x:c r="P278" s="25" t="str"/>
      <x:c r="Q278" s="25" t="str"/>
      <x:c r="R278" s="25" t="str"/>
      <x:c r="S278" s="25" t="str"/>
      <x:c r="T278" s="25" t="str"/>
      <x:c r="U278" s="25" t="str">
        <x:v>GEO 1.0 (1).xlsx</x:v>
      </x:c>
      <x:c r="V278" s="25" t="str"/>
    </x:row>
  </x:sheetData>
  <x:mergeCells>
    <x:mergeCell ref="A1:J2"/>
  </x:mergeCells>
  <x:dataValidations count="3">
    <x:dataValidation type="list" sqref="H5:H278">
      <x:formula1>"是,否"</x:formula1>
    </x:dataValidation>
    <x:dataValidation type="list" sqref="I5:I278">
      <x:formula1>"是,否"</x:formula1>
    </x:dataValidation>
    <x:dataValidation type="whole" operator="between" sqref="J5:J278">
      <x:formula1>0</x:formula1>
      <x:formula2>4</x:formula2>
    </x:dataValidation>
  </x:dataValidations>
  <x:pageMargins left="0.7" right="0.7" top="0.75" bottom="0.75" header="0.3" footer="0.3"/>
  <x:tableParts count="1">
    <x:tablePart xmlns:r="http://schemas.openxmlformats.org/officeDocument/2006/relationships" r:id="Rbf9dd745ca1a42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4" hidden="0" customWidth="1"/>
    <x:col min="10" max="10" width="20" hidden="0" customWidth="1"/>
    <x:col min="11" max="11" width="20" hidden="0" customWidth="1"/>
  </x:cols>
  <x:sheetData>
    <x:row r="1" ht="54" customHeight="1">
      <x:c r="A1" s="4" t="str">
        <x:v>55 问固定问题库
12 个高价值问题组成双周哨兵组；完整 55 问每月或每 6 周复测。</x:v>
      </x:c>
      <x:c r="B1" s="4" t="str">
        <x:v>55 问固定问题库
12 个高价值问题组成双周哨兵组；完整 55 问每月或每 6 周复测。</x:v>
      </x:c>
      <x:c r="C1" s="4" t="str">
        <x:v>55 问固定问题库
12 个高价值问题组成双周哨兵组；完整 55 问每月或每 6 周复测。</x:v>
      </x:c>
      <x:c r="D1" s="4" t="str">
        <x:v>55 问固定问题库
12 个高价值问题组成双周哨兵组；完整 55 问每月或每 6 周复测。</x:v>
      </x:c>
      <x:c r="E1" s="4" t="str">
        <x:v>55 问固定问题库
12 个高价值问题组成双周哨兵组；完整 55 问每月或每 6 周复测。</x:v>
      </x:c>
      <x:c r="F1" s="4" t="str">
        <x:v>55 问固定问题库
12 个高价值问题组成双周哨兵组；完整 55 问每月或每 6 周复测。</x:v>
      </x:c>
      <x:c r="G1" s="4" t="str">
        <x:v>55 问固定问题库
12 个高价值问题组成双周哨兵组；完整 55 问每月或每 6 周复测。</x:v>
      </x:c>
      <x:c r="H1" s="4" t="str">
        <x:v>55 问固定问题库
12 个高价值问题组成双周哨兵组；完整 55 问每月或每 6 周复测。</x:v>
      </x:c>
      <x:c r="I1" s="4" t="str">
        <x:v>55 问固定问题库
12 个高价值问题组成双周哨兵组；完整 55 问每月或每 6 周复测。</x:v>
      </x:c>
      <x:c r="J1" s="4" t="str">
        <x:v>55 问固定问题库
12 个高价值问题组成双周哨兵组；完整 55 问每月或每 6 周复测。</x:v>
      </x:c>
      <x:c r="K1" s="4" t="str">
        <x:v>55 问固定问题库
12 个高价值问题组成双周哨兵组；完整 55 问每月或每 6 周复测。</x:v>
      </x:c>
    </x:row>
    <x:row r="2" ht="54" customHeight="1">
      <x:c r="A2" s="4" t="str">
        <x:v>55 问固定问题库
12 个高价值问题组成双周哨兵组；完整 55 问每月或每 6 周复测。</x:v>
      </x:c>
      <x:c r="B2" s="4" t="str">
        <x:v>55 问固定问题库
12 个高价值问题组成双周哨兵组；完整 55 问每月或每 6 周复测。</x:v>
      </x:c>
      <x:c r="C2" s="4" t="str">
        <x:v>55 问固定问题库
12 个高价值问题组成双周哨兵组；完整 55 问每月或每 6 周复测。</x:v>
      </x:c>
      <x:c r="D2" s="4" t="str">
        <x:v>55 问固定问题库
12 个高价值问题组成双周哨兵组；完整 55 问每月或每 6 周复测。</x:v>
      </x:c>
      <x:c r="E2" s="4" t="str">
        <x:v>55 问固定问题库
12 个高价值问题组成双周哨兵组；完整 55 问每月或每 6 周复测。</x:v>
      </x:c>
      <x:c r="F2" s="4" t="str">
        <x:v>55 问固定问题库
12 个高价值问题组成双周哨兵组；完整 55 问每月或每 6 周复测。</x:v>
      </x:c>
      <x:c r="G2" s="4" t="str">
        <x:v>55 问固定问题库
12 个高价值问题组成双周哨兵组；完整 55 问每月或每 6 周复测。</x:v>
      </x:c>
      <x:c r="H2" s="4" t="str">
        <x:v>55 问固定问题库
12 个高价值问题组成双周哨兵组；完整 55 问每月或每 6 周复测。</x:v>
      </x:c>
      <x:c r="I2" s="4" t="str">
        <x:v>55 问固定问题库
12 个高价值问题组成双周哨兵组；完整 55 问每月或每 6 周复测。</x:v>
      </x:c>
      <x:c r="J2" s="4" t="str">
        <x:v>55 问固定问题库
12 个高价值问题组成双周哨兵组；完整 55 问每月或每 6 周复测。</x:v>
      </x:c>
      <x:c r="K2" s="4" t="str">
        <x:v>55 问固定问题库
12 个高价值问题组成双周哨兵组；完整 55 问每月或每 6 周复测。</x:v>
      </x:c>
    </x:row>
    <x:row r="4" ht="30" customHeight="1">
      <x:c r="A4" s="27" t="str">
        <x:v>序号</x:v>
      </x:c>
      <x:c r="B4" s="27" t="str">
        <x:v>固定问法</x:v>
      </x:c>
      <x:c r="C4" s="27" t="str">
        <x:v>品牌属性</x:v>
      </x:c>
      <x:c r="D4" s="27" t="str">
        <x:v>主题集群</x:v>
      </x:c>
      <x:c r="E4" s="27" t="str">
        <x:v>价值等级</x:v>
      </x:c>
      <x:c r="F4" s="27" t="str">
        <x:v>双周哨兵</x:v>
      </x:c>
      <x:c r="G4" s="27" t="str">
        <x:v>频率</x:v>
      </x:c>
      <x:c r="H4" s="27" t="str">
        <x:v>负责人</x:v>
      </x:c>
      <x:c r="I4" s="27" t="str">
        <x:v>下次复测</x:v>
      </x:c>
      <x:c r="J4" s="27" t="str">
        <x:v>当前状态</x:v>
      </x:c>
      <x:c r="K4" s="27" t="str">
        <x:v>备注</x:v>
      </x:c>
    </x:row>
    <x:row r="5">
      <x:c r="A5" s="17" t="n">
        <x:v>1</x:v>
      </x:c>
      <x:c r="B5" s="17" t="str">
        <x:v>热处理炉节能改造方案</x:v>
      </x:c>
      <x:c r="C5" s="17" t="str">
        <x:v>非品牌词</x:v>
      </x:c>
      <x:c r="D5" s="17" t="str">
        <x:v>节能与ROI</x:v>
      </x:c>
      <x:c r="E5" s="17" t="str">
        <x:v>一般</x:v>
      </x:c>
      <x:c r="F5" s="17" t="str">
        <x:v>否</x:v>
      </x:c>
      <x:c r="G5" s="17" t="str">
        <x:v>每月/每6周</x:v>
      </x:c>
      <x:c r="H5" s="17" t="str">
        <x:v>钱波</x:v>
      </x:c>
      <x:c r="I5" s="23" t="n">
        <x:v>46263.166666666664</x:v>
      </x:c>
      <x:c r="J5" s="17" t="str">
        <x:v>R1 已完成</x:v>
      </x:c>
      <x:c r="K5" s="17" t="str"/>
    </x:row>
    <x:row r="6">
      <x:c r="A6" s="17" t="n">
        <x:v>2</x:v>
      </x:c>
      <x:c r="B6" s="17" t="str">
        <x:v>工业炉节能改造厂家</x:v>
      </x:c>
      <x:c r="C6" s="17" t="str">
        <x:v>非品牌词</x:v>
      </x:c>
      <x:c r="D6" s="17" t="str">
        <x:v>节能与ROI</x:v>
      </x:c>
      <x:c r="E6" s="17" t="str">
        <x:v>高</x:v>
      </x:c>
      <x:c r="F6" s="17" t="str">
        <x:v>是</x:v>
      </x:c>
      <x:c r="G6" s="17" t="str">
        <x:v>双周</x:v>
      </x:c>
      <x:c r="H6" s="17" t="str">
        <x:v>钱波</x:v>
      </x:c>
      <x:c r="I6" s="23" t="n">
        <x:v>46246.166666666664</x:v>
      </x:c>
      <x:c r="J6" s="17" t="str">
        <x:v>R1 已完成</x:v>
      </x:c>
      <x:c r="K6" s="17" t="str"/>
    </x:row>
    <x:row r="7">
      <x:c r="A7" s="17" t="n">
        <x:v>3</x:v>
      </x:c>
      <x:c r="B7" s="17" t="str">
        <x:v>老旧热处理炉改造还是新买</x:v>
      </x:c>
      <x:c r="C7" s="17" t="str">
        <x:v>非品牌词</x:v>
      </x:c>
      <x:c r="D7" s="17" t="str">
        <x:v>改造决策</x:v>
      </x:c>
      <x:c r="E7" s="17" t="str">
        <x:v>高</x:v>
      </x:c>
      <x:c r="F7" s="17" t="str">
        <x:v>是</x:v>
      </x:c>
      <x:c r="G7" s="17" t="str">
        <x:v>双周</x:v>
      </x:c>
      <x:c r="H7" s="17" t="str">
        <x:v>钱波</x:v>
      </x:c>
      <x:c r="I7" s="23" t="n">
        <x:v>46246.166666666664</x:v>
      </x:c>
      <x:c r="J7" s="17" t="str">
        <x:v>R1 已完成</x:v>
      </x:c>
      <x:c r="K7" s="17" t="str"/>
    </x:row>
    <x:row r="8">
      <x:c r="A8" s="17" t="n">
        <x:v>4</x:v>
      </x:c>
      <x:c r="B8" s="17" t="str">
        <x:v>热处理炉大修厂家怎么选</x:v>
      </x:c>
      <x:c r="C8" s="17" t="str">
        <x:v>非品牌词</x:v>
      </x:c>
      <x:c r="D8" s="17" t="str">
        <x:v>厂家选择</x:v>
      </x:c>
      <x:c r="E8" s="17" t="str">
        <x:v>高</x:v>
      </x:c>
      <x:c r="F8" s="17" t="str">
        <x:v>否</x:v>
      </x:c>
      <x:c r="G8" s="17" t="str">
        <x:v>每月/每6周</x:v>
      </x:c>
      <x:c r="H8" s="17" t="str">
        <x:v>钱波</x:v>
      </x:c>
      <x:c r="I8" s="23" t="n">
        <x:v>46263.166666666664</x:v>
      </x:c>
      <x:c r="J8" s="17" t="str">
        <x:v>R1 已完成</x:v>
      </x:c>
      <x:c r="K8" s="17" t="str"/>
    </x:row>
    <x:row r="9">
      <x:c r="A9" s="17" t="n">
        <x:v>5</x:v>
      </x:c>
      <x:c r="B9" s="17" t="str">
        <x:v>热处理炉炉衬翻新方案</x:v>
      </x:c>
      <x:c r="C9" s="17" t="str">
        <x:v>非品牌词</x:v>
      </x:c>
      <x:c r="D9" s="17" t="str">
        <x:v>专项改造</x:v>
      </x:c>
      <x:c r="E9" s="17" t="str">
        <x:v>一般</x:v>
      </x:c>
      <x:c r="F9" s="17" t="str">
        <x:v>否</x:v>
      </x:c>
      <x:c r="G9" s="17" t="str">
        <x:v>每月/每6周</x:v>
      </x:c>
      <x:c r="H9" s="17" t="str">
        <x:v>钱波</x:v>
      </x:c>
      <x:c r="I9" s="23" t="n">
        <x:v>46263.166666666664</x:v>
      </x:c>
      <x:c r="J9" s="17" t="str">
        <x:v>R1 已完成</x:v>
      </x:c>
      <x:c r="K9" s="17" t="str"/>
    </x:row>
    <x:row r="10">
      <x:c r="A10" s="17" t="n">
        <x:v>6</x:v>
      </x:c>
      <x:c r="B10" s="17" t="str">
        <x:v>热处理炉控制系统升级厂家</x:v>
      </x:c>
      <x:c r="C10" s="17" t="str">
        <x:v>非品牌词</x:v>
      </x:c>
      <x:c r="D10" s="17" t="str">
        <x:v>控制系统升级</x:v>
      </x:c>
      <x:c r="E10" s="17" t="str">
        <x:v>高</x:v>
      </x:c>
      <x:c r="F10" s="17" t="str">
        <x:v>否</x:v>
      </x:c>
      <x:c r="G10" s="17" t="str">
        <x:v>每月/每6周</x:v>
      </x:c>
      <x:c r="H10" s="17" t="str">
        <x:v>钱波</x:v>
      </x:c>
      <x:c r="I10" s="23" t="n">
        <x:v>46263.166666666664</x:v>
      </x:c>
      <x:c r="J10" s="17" t="str">
        <x:v>R1 已完成</x:v>
      </x:c>
      <x:c r="K10" s="17" t="str"/>
    </x:row>
    <x:row r="11">
      <x:c r="A11" s="17" t="n">
        <x:v>7</x:v>
      </x:c>
      <x:c r="B11" s="17" t="str">
        <x:v>热处理炉温度不均怎么整改</x:v>
      </x:c>
      <x:c r="C11" s="17" t="str">
        <x:v>非品牌词</x:v>
      </x:c>
      <x:c r="D11" s="17" t="str">
        <x:v>验收与质量</x:v>
      </x:c>
      <x:c r="E11" s="17" t="str">
        <x:v>中</x:v>
      </x:c>
      <x:c r="F11" s="17" t="str">
        <x:v>是</x:v>
      </x:c>
      <x:c r="G11" s="17" t="str">
        <x:v>双周</x:v>
      </x:c>
      <x:c r="H11" s="17" t="str">
        <x:v>钱波</x:v>
      </x:c>
      <x:c r="I11" s="23" t="n">
        <x:v>46246.166666666664</x:v>
      </x:c>
      <x:c r="J11" s="17" t="str">
        <x:v>R1 已完成</x:v>
      </x:c>
      <x:c r="K11" s="17" t="str"/>
    </x:row>
    <x:row r="12">
      <x:c r="A12" s="17" t="n">
        <x:v>8</x:v>
      </x:c>
      <x:c r="B12" s="17" t="str">
        <x:v>工业炉耗电量高怎么改造</x:v>
      </x:c>
      <x:c r="C12" s="17" t="str">
        <x:v>非品牌词</x:v>
      </x:c>
      <x:c r="D12" s="17" t="str">
        <x:v>节能与ROI</x:v>
      </x:c>
      <x:c r="E12" s="17" t="str">
        <x:v>中</x:v>
      </x:c>
      <x:c r="F12" s="17" t="str">
        <x:v>是</x:v>
      </x:c>
      <x:c r="G12" s="17" t="str">
        <x:v>双周</x:v>
      </x:c>
      <x:c r="H12" s="17" t="str">
        <x:v>钱波</x:v>
      </x:c>
      <x:c r="I12" s="23" t="n">
        <x:v>46246.166666666664</x:v>
      </x:c>
      <x:c r="J12" s="17" t="str">
        <x:v>R1 已完成</x:v>
      </x:c>
      <x:c r="K12" s="17" t="str"/>
    </x:row>
    <x:row r="13">
      <x:c r="A13" s="17" t="n">
        <x:v>9</x:v>
      </x:c>
      <x:c r="B13" s="17" t="str">
        <x:v>热处理炉节能改造能省多少电</x:v>
      </x:c>
      <x:c r="C13" s="17" t="str">
        <x:v>非品牌词</x:v>
      </x:c>
      <x:c r="D13" s="17" t="str">
        <x:v>节能与ROI</x:v>
      </x:c>
      <x:c r="E13" s="17" t="str">
        <x:v>一般</x:v>
      </x:c>
      <x:c r="F13" s="17" t="str">
        <x:v>是</x:v>
      </x:c>
      <x:c r="G13" s="17" t="str">
        <x:v>双周</x:v>
      </x:c>
      <x:c r="H13" s="17" t="str">
        <x:v>钱波</x:v>
      </x:c>
      <x:c r="I13" s="23" t="n">
        <x:v>46246.166666666664</x:v>
      </x:c>
      <x:c r="J13" s="17" t="str">
        <x:v>R1 已完成</x:v>
      </x:c>
      <x:c r="K13" s="17" t="str"/>
    </x:row>
    <x:row r="14">
      <x:c r="A14" s="17" t="n">
        <x:v>10</x:v>
      </x:c>
      <x:c r="B14" s="17" t="str">
        <x:v>工业炉改造验收看哪些指标</x:v>
      </x:c>
      <x:c r="C14" s="17" t="str">
        <x:v>非品牌词</x:v>
      </x:c>
      <x:c r="D14" s="17" t="str">
        <x:v>验收与质量</x:v>
      </x:c>
      <x:c r="E14" s="17" t="str">
        <x:v>高</x:v>
      </x:c>
      <x:c r="F14" s="17" t="str">
        <x:v>是</x:v>
      </x:c>
      <x:c r="G14" s="17" t="str">
        <x:v>双周</x:v>
      </x:c>
      <x:c r="H14" s="17" t="str">
        <x:v>钱波</x:v>
      </x:c>
      <x:c r="I14" s="23" t="n">
        <x:v>46246.166666666664</x:v>
      </x:c>
      <x:c r="J14" s="17" t="str">
        <x:v>R1 已完成</x:v>
      </x:c>
      <x:c r="K14" s="17" t="str"/>
    </x:row>
    <x:row r="15">
      <x:c r="A15" s="17" t="n">
        <x:v>11</x:v>
      </x:c>
      <x:c r="B15" s="17" t="str">
        <x:v>热处理炉改造周期一般多久</x:v>
      </x:c>
      <x:c r="C15" s="17" t="str">
        <x:v>非品牌词</x:v>
      </x:c>
      <x:c r="D15" s="17" t="str">
        <x:v>周期与生产影响</x:v>
      </x:c>
      <x:c r="E15" s="17" t="str">
        <x:v>一般</x:v>
      </x:c>
      <x:c r="F15" s="17" t="str">
        <x:v>是</x:v>
      </x:c>
      <x:c r="G15" s="17" t="str">
        <x:v>双周</x:v>
      </x:c>
      <x:c r="H15" s="17" t="str">
        <x:v>钱波</x:v>
      </x:c>
      <x:c r="I15" s="23" t="n">
        <x:v>46246.166666666664</x:v>
      </x:c>
      <x:c r="J15" s="17" t="str">
        <x:v>R1 已完成</x:v>
      </x:c>
      <x:c r="K15" s="17" t="str"/>
    </x:row>
    <x:row r="16">
      <x:c r="A16" s="17" t="n">
        <x:v>12</x:v>
      </x:c>
      <x:c r="B16" s="17" t="str">
        <x:v>江苏热处理炉改造厂家</x:v>
      </x:c>
      <x:c r="C16" s="17" t="str">
        <x:v>非品牌词</x:v>
      </x:c>
      <x:c r="D16" s="17" t="str">
        <x:v>厂家选择</x:v>
      </x:c>
      <x:c r="E16" s="17" t="str">
        <x:v>高</x:v>
      </x:c>
      <x:c r="F16" s="17" t="str">
        <x:v>否</x:v>
      </x:c>
      <x:c r="G16" s="17" t="str">
        <x:v>每月/每6周</x:v>
      </x:c>
      <x:c r="H16" s="17" t="str">
        <x:v>钱波</x:v>
      </x:c>
      <x:c r="I16" s="23" t="n">
        <x:v>46263.166666666664</x:v>
      </x:c>
      <x:c r="J16" s="17" t="str">
        <x:v>R1 已完成</x:v>
      </x:c>
      <x:c r="K16" s="17" t="str"/>
    </x:row>
    <x:row r="17">
      <x:c r="A17" s="17" t="n">
        <x:v>13</x:v>
      </x:c>
      <x:c r="B17" s="17" t="str">
        <x:v>江苏工业炉节能改造厂家</x:v>
      </x:c>
      <x:c r="C17" s="17" t="str">
        <x:v>非品牌词</x:v>
      </x:c>
      <x:c r="D17" s="17" t="str">
        <x:v>节能与ROI</x:v>
      </x:c>
      <x:c r="E17" s="17" t="str">
        <x:v>高</x:v>
      </x:c>
      <x:c r="F17" s="17" t="str">
        <x:v>否</x:v>
      </x:c>
      <x:c r="G17" s="17" t="str">
        <x:v>每月/每6周</x:v>
      </x:c>
      <x:c r="H17" s="17" t="str">
        <x:v>钱波</x:v>
      </x:c>
      <x:c r="I17" s="23" t="n">
        <x:v>46263.166666666664</x:v>
      </x:c>
      <x:c r="J17" s="17" t="str">
        <x:v>R1 已完成</x:v>
      </x:c>
      <x:c r="K17" s="17" t="str"/>
    </x:row>
    <x:row r="18">
      <x:c r="A18" s="17" t="n">
        <x:v>14</x:v>
      </x:c>
      <x:c r="B18" s="17" t="str">
        <x:v>热处理炉改造案例</x:v>
      </x:c>
      <x:c r="C18" s="17" t="str">
        <x:v>非品牌词</x:v>
      </x:c>
      <x:c r="D18" s="17" t="str">
        <x:v>案例证据</x:v>
      </x:c>
      <x:c r="E18" s="17" t="str">
        <x:v>中</x:v>
      </x:c>
      <x:c r="F18" s="17" t="str">
        <x:v>否</x:v>
      </x:c>
      <x:c r="G18" s="17" t="str">
        <x:v>每月/每6周</x:v>
      </x:c>
      <x:c r="H18" s="17" t="str">
        <x:v>钱波</x:v>
      </x:c>
      <x:c r="I18" s="23" t="n">
        <x:v>46263.166666666664</x:v>
      </x:c>
      <x:c r="J18" s="17" t="str">
        <x:v>R1 已完成</x:v>
      </x:c>
      <x:c r="K18" s="17" t="str"/>
    </x:row>
    <x:row r="19">
      <x:c r="A19" s="17" t="n">
        <x:v>15</x:v>
      </x:c>
      <x:c r="B19" s="17" t="str">
        <x:v>工业炉售后改造服务厂家</x:v>
      </x:c>
      <x:c r="C19" s="17" t="str">
        <x:v>非品牌词</x:v>
      </x:c>
      <x:c r="D19" s="17" t="str">
        <x:v>厂家选择</x:v>
      </x:c>
      <x:c r="E19" s="17" t="str">
        <x:v>高</x:v>
      </x:c>
      <x:c r="F19" s="17" t="str">
        <x:v>否</x:v>
      </x:c>
      <x:c r="G19" s="17" t="str">
        <x:v>每月/每6周</x:v>
      </x:c>
      <x:c r="H19" s="17" t="str">
        <x:v>钱波</x:v>
      </x:c>
      <x:c r="I19" s="23" t="n">
        <x:v>46263.166666666664</x:v>
      </x:c>
      <x:c r="J19" s="17" t="str">
        <x:v>R1 已完成</x:v>
      </x:c>
      <x:c r="K19" s="17" t="str"/>
    </x:row>
    <x:row r="20">
      <x:c r="A20" s="17" t="n">
        <x:v>16</x:v>
      </x:c>
      <x:c r="B20" s="17" t="str">
        <x:v>热处理炉电加热改燃气方案</x:v>
      </x:c>
      <x:c r="C20" s="17" t="str">
        <x:v>非品牌词</x:v>
      </x:c>
      <x:c r="D20" s="17" t="str">
        <x:v>专项改造</x:v>
      </x:c>
      <x:c r="E20" s="17" t="str">
        <x:v>一般</x:v>
      </x:c>
      <x:c r="F20" s="17" t="str">
        <x:v>否</x:v>
      </x:c>
      <x:c r="G20" s="17" t="str">
        <x:v>每月/每6周</x:v>
      </x:c>
      <x:c r="H20" s="17" t="str">
        <x:v>钱波</x:v>
      </x:c>
      <x:c r="I20" s="23" t="n">
        <x:v>46263.166666666664</x:v>
      </x:c>
      <x:c r="J20" s="17" t="str">
        <x:v>R1 已完成</x:v>
      </x:c>
      <x:c r="K20" s="17" t="str"/>
    </x:row>
    <x:row r="21">
      <x:c r="A21" s="17" t="n">
        <x:v>17</x:v>
      </x:c>
      <x:c r="B21" s="17" t="str">
        <x:v>热处理炉燃气改电加热改造</x:v>
      </x:c>
      <x:c r="C21" s="17" t="str">
        <x:v>非品牌词</x:v>
      </x:c>
      <x:c r="D21" s="17" t="str">
        <x:v>专项改造</x:v>
      </x:c>
      <x:c r="E21" s="17" t="str">
        <x:v>一般</x:v>
      </x:c>
      <x:c r="F21" s="17" t="str">
        <x:v>否</x:v>
      </x:c>
      <x:c r="G21" s="17" t="str">
        <x:v>每月/每6周</x:v>
      </x:c>
      <x:c r="H21" s="17" t="str">
        <x:v>钱波</x:v>
      </x:c>
      <x:c r="I21" s="23" t="n">
        <x:v>46263.166666666664</x:v>
      </x:c>
      <x:c r="J21" s="17" t="str">
        <x:v>R1 已完成</x:v>
      </x:c>
      <x:c r="K21" s="17" t="str"/>
    </x:row>
    <x:row r="22">
      <x:c r="A22" s="17" t="n">
        <x:v>18</x:v>
      </x:c>
      <x:c r="B22" s="17" t="str">
        <x:v>热处理炉余热回收改造</x:v>
      </x:c>
      <x:c r="C22" s="17" t="str">
        <x:v>非品牌词</x:v>
      </x:c>
      <x:c r="D22" s="17" t="str">
        <x:v>专项改造</x:v>
      </x:c>
      <x:c r="E22" s="17" t="str">
        <x:v>一般</x:v>
      </x:c>
      <x:c r="F22" s="17" t="str">
        <x:v>否</x:v>
      </x:c>
      <x:c r="G22" s="17" t="str">
        <x:v>每月/每6周</x:v>
      </x:c>
      <x:c r="H22" s="17" t="str">
        <x:v>钱波</x:v>
      </x:c>
      <x:c r="I22" s="23" t="n">
        <x:v>46263.166666666664</x:v>
      </x:c>
      <x:c r="J22" s="17" t="str">
        <x:v>R1 已完成</x:v>
      </x:c>
      <x:c r="K22" s="17" t="str"/>
    </x:row>
    <x:row r="23">
      <x:c r="A23" s="17" t="n">
        <x:v>19</x:v>
      </x:c>
      <x:c r="B23" s="17" t="str">
        <x:v>热处理炉控制系统 PLC 升级</x:v>
      </x:c>
      <x:c r="C23" s="17" t="str">
        <x:v>非品牌词</x:v>
      </x:c>
      <x:c r="D23" s="17" t="str">
        <x:v>控制系统升级</x:v>
      </x:c>
      <x:c r="E23" s="17" t="str">
        <x:v>一般</x:v>
      </x:c>
      <x:c r="F23" s="17" t="str">
        <x:v>否</x:v>
      </x:c>
      <x:c r="G23" s="17" t="str">
        <x:v>每月/每6周</x:v>
      </x:c>
      <x:c r="H23" s="17" t="str">
        <x:v>钱波</x:v>
      </x:c>
      <x:c r="I23" s="23" t="n">
        <x:v>46263.166666666664</x:v>
      </x:c>
      <x:c r="J23" s="17" t="str">
        <x:v>R1 已完成</x:v>
      </x:c>
      <x:c r="K23" s="17" t="str"/>
    </x:row>
    <x:row r="24">
      <x:c r="A24" s="17" t="n">
        <x:v>20</x:v>
      </x:c>
      <x:c r="B24" s="17" t="str">
        <x:v>热处理炉 DCS 控制系统改造</x:v>
      </x:c>
      <x:c r="C24" s="17" t="str">
        <x:v>非品牌词</x:v>
      </x:c>
      <x:c r="D24" s="17" t="str">
        <x:v>控制系统升级</x:v>
      </x:c>
      <x:c r="E24" s="17" t="str">
        <x:v>一般</x:v>
      </x:c>
      <x:c r="F24" s="17" t="str">
        <x:v>否</x:v>
      </x:c>
      <x:c r="G24" s="17" t="str">
        <x:v>每月/每6周</x:v>
      </x:c>
      <x:c r="H24" s="17" t="str">
        <x:v>钱波</x:v>
      </x:c>
      <x:c r="I24" s="23" t="n">
        <x:v>46263.166666666664</x:v>
      </x:c>
      <x:c r="J24" s="17" t="str">
        <x:v>R1 已完成</x:v>
      </x:c>
      <x:c r="K24" s="17" t="str"/>
    </x:row>
    <x:row r="25">
      <x:c r="A25" s="17" t="n">
        <x:v>21</x:v>
      </x:c>
      <x:c r="B25" s="17" t="str">
        <x:v>罩式炉气氛系统升级改造</x:v>
      </x:c>
      <x:c r="C25" s="17" t="str">
        <x:v>非品牌词</x:v>
      </x:c>
      <x:c r="D25" s="17" t="str">
        <x:v>综合方案</x:v>
      </x:c>
      <x:c r="E25" s="17" t="str">
        <x:v>一般</x:v>
      </x:c>
      <x:c r="F25" s="17" t="str">
        <x:v>否</x:v>
      </x:c>
      <x:c r="G25" s="17" t="str">
        <x:v>每月/每6周</x:v>
      </x:c>
      <x:c r="H25" s="17" t="str">
        <x:v>钱波</x:v>
      </x:c>
      <x:c r="I25" s="23" t="n">
        <x:v>46263.166666666664</x:v>
      </x:c>
      <x:c r="J25" s="17" t="str">
        <x:v>R1 已完成</x:v>
      </x:c>
      <x:c r="K25" s="17" t="str"/>
    </x:row>
    <x:row r="26">
      <x:c r="A26" s="17" t="n">
        <x:v>22</x:v>
      </x:c>
      <x:c r="B26" s="17" t="str">
        <x:v>推杆炉机械系统大修</x:v>
      </x:c>
      <x:c r="C26" s="17" t="str">
        <x:v>非品牌词</x:v>
      </x:c>
      <x:c r="D26" s="17" t="str">
        <x:v>改造决策</x:v>
      </x:c>
      <x:c r="E26" s="17" t="str">
        <x:v>一般</x:v>
      </x:c>
      <x:c r="F26" s="17" t="str">
        <x:v>否</x:v>
      </x:c>
      <x:c r="G26" s="17" t="str">
        <x:v>每月/每6周</x:v>
      </x:c>
      <x:c r="H26" s="17" t="str">
        <x:v>钱波</x:v>
      </x:c>
      <x:c r="I26" s="23" t="n">
        <x:v>46263.166666666664</x:v>
      </x:c>
      <x:c r="J26" s="17" t="str">
        <x:v>R1 已完成</x:v>
      </x:c>
      <x:c r="K26" s="17" t="str"/>
    </x:row>
    <x:row r="27">
      <x:c r="A27" s="17" t="n">
        <x:v>23</x:v>
      </x:c>
      <x:c r="B27" s="17" t="str">
        <x:v>二手热处理炉再制造服务</x:v>
      </x:c>
      <x:c r="C27" s="17" t="str">
        <x:v>非品牌词</x:v>
      </x:c>
      <x:c r="D27" s="17" t="str">
        <x:v>改造决策</x:v>
      </x:c>
      <x:c r="E27" s="17" t="str">
        <x:v>一般</x:v>
      </x:c>
      <x:c r="F27" s="17" t="str">
        <x:v>否</x:v>
      </x:c>
      <x:c r="G27" s="17" t="str">
        <x:v>每月/每6周</x:v>
      </x:c>
      <x:c r="H27" s="17" t="str">
        <x:v>钱波</x:v>
      </x:c>
      <x:c r="I27" s="23" t="n">
        <x:v>46263.166666666664</x:v>
      </x:c>
      <x:c r="J27" s="17" t="str">
        <x:v>R1 已完成</x:v>
      </x:c>
      <x:c r="K27" s="17" t="str"/>
    </x:row>
    <x:row r="28">
      <x:c r="A28" s="17" t="n">
        <x:v>24</x:v>
      </x:c>
      <x:c r="B28" s="17" t="str">
        <x:v>停产多年的热处理炉重启评估</x:v>
      </x:c>
      <x:c r="C28" s="17" t="str">
        <x:v>非品牌词</x:v>
      </x:c>
      <x:c r="D28" s="17" t="str">
        <x:v>周期与生产影响</x:v>
      </x:c>
      <x:c r="E28" s="17" t="str">
        <x:v>高</x:v>
      </x:c>
      <x:c r="F28" s="17" t="str">
        <x:v>否</x:v>
      </x:c>
      <x:c r="G28" s="17" t="str">
        <x:v>每月/每6周</x:v>
      </x:c>
      <x:c r="H28" s="17" t="str">
        <x:v>钱波</x:v>
      </x:c>
      <x:c r="I28" s="23" t="n">
        <x:v>46263.166666666664</x:v>
      </x:c>
      <x:c r="J28" s="17" t="str">
        <x:v>R1 已完成</x:v>
      </x:c>
      <x:c r="K28" s="17" t="str"/>
    </x:row>
    <x:row r="29">
      <x:c r="A29" s="17" t="n">
        <x:v>25</x:v>
      </x:c>
      <x:c r="B29" s="17" t="str">
        <x:v>工厂搬迁后热处理设备恢复</x:v>
      </x:c>
      <x:c r="C29" s="17" t="str">
        <x:v>非品牌词</x:v>
      </x:c>
      <x:c r="D29" s="17" t="str">
        <x:v>改造决策</x:v>
      </x:c>
      <x:c r="E29" s="17" t="str">
        <x:v>一般</x:v>
      </x:c>
      <x:c r="F29" s="17" t="str">
        <x:v>否</x:v>
      </x:c>
      <x:c r="G29" s="17" t="str">
        <x:v>每月/每6周</x:v>
      </x:c>
      <x:c r="H29" s="17" t="str">
        <x:v>钱波</x:v>
      </x:c>
      <x:c r="I29" s="23" t="n">
        <x:v>46263.166666666664</x:v>
      </x:c>
      <x:c r="J29" s="17" t="str">
        <x:v>R1 已完成</x:v>
      </x:c>
      <x:c r="K29" s="17" t="str"/>
    </x:row>
    <x:row r="30">
      <x:c r="A30" s="17" t="n">
        <x:v>26</x:v>
      </x:c>
      <x:c r="B30" s="17" t="str">
        <x:v>热处理炉技改投资回报测算</x:v>
      </x:c>
      <x:c r="C30" s="17" t="str">
        <x:v>非品牌词</x:v>
      </x:c>
      <x:c r="D30" s="17" t="str">
        <x:v>节能与ROI</x:v>
      </x:c>
      <x:c r="E30" s="17" t="str">
        <x:v>高</x:v>
      </x:c>
      <x:c r="F30" s="17" t="str">
        <x:v>是</x:v>
      </x:c>
      <x:c r="G30" s="17" t="str">
        <x:v>双周</x:v>
      </x:c>
      <x:c r="H30" s="17" t="str">
        <x:v>钱波</x:v>
      </x:c>
      <x:c r="I30" s="23" t="n">
        <x:v>46246.166666666664</x:v>
      </x:c>
      <x:c r="J30" s="17" t="str">
        <x:v>R1 已完成</x:v>
      </x:c>
      <x:c r="K30" s="17" t="str"/>
    </x:row>
    <x:row r="31">
      <x:c r="A31" s="17" t="n">
        <x:v>27</x:v>
      </x:c>
      <x:c r="B31" s="17" t="str">
        <x:v>热处理炉节能改造案例（节能 20% 以上）</x:v>
      </x:c>
      <x:c r="C31" s="17" t="str">
        <x:v>非品牌词</x:v>
      </x:c>
      <x:c r="D31" s="17" t="str">
        <x:v>节能与ROI</x:v>
      </x:c>
      <x:c r="E31" s="17" t="str">
        <x:v>中</x:v>
      </x:c>
      <x:c r="F31" s="17" t="str">
        <x:v>否</x:v>
      </x:c>
      <x:c r="G31" s="17" t="str">
        <x:v>每月/每6周</x:v>
      </x:c>
      <x:c r="H31" s="17" t="str">
        <x:v>钱波</x:v>
      </x:c>
      <x:c r="I31" s="23" t="n">
        <x:v>46263.166666666664</x:v>
      </x:c>
      <x:c r="J31" s="17" t="str">
        <x:v>R1 已完成</x:v>
      </x:c>
      <x:c r="K31" s="17" t="str"/>
    </x:row>
    <x:row r="32">
      <x:c r="A32" s="17" t="n">
        <x:v>28</x:v>
      </x:c>
      <x:c r="B32" s="17" t="str">
        <x:v>热处理炉节能改造多少钱</x:v>
      </x:c>
      <x:c r="C32" s="17" t="str">
        <x:v>非品牌词</x:v>
      </x:c>
      <x:c r="D32" s="17" t="str">
        <x:v>价格与预算</x:v>
      </x:c>
      <x:c r="E32" s="17" t="str">
        <x:v>高</x:v>
      </x:c>
      <x:c r="F32" s="17" t="str">
        <x:v>是</x:v>
      </x:c>
      <x:c r="G32" s="17" t="str">
        <x:v>双周</x:v>
      </x:c>
      <x:c r="H32" s="17" t="str">
        <x:v>钱波</x:v>
      </x:c>
      <x:c r="I32" s="23" t="n">
        <x:v>46246.166666666664</x:v>
      </x:c>
      <x:c r="J32" s="17" t="str">
        <x:v>R1 已完成</x:v>
      </x:c>
      <x:c r="K32" s="17" t="str"/>
    </x:row>
    <x:row r="33">
      <x:c r="A33" s="17" t="n">
        <x:v>29</x:v>
      </x:c>
      <x:c r="B33" s="17" t="str">
        <x:v>工业炉节能改造报价包括哪些</x:v>
      </x:c>
      <x:c r="C33" s="17" t="str">
        <x:v>非品牌词</x:v>
      </x:c>
      <x:c r="D33" s="17" t="str">
        <x:v>价格与预算</x:v>
      </x:c>
      <x:c r="E33" s="17" t="str">
        <x:v>高</x:v>
      </x:c>
      <x:c r="F33" s="17" t="str">
        <x:v>否</x:v>
      </x:c>
      <x:c r="G33" s="17" t="str">
        <x:v>每月/每6周</x:v>
      </x:c>
      <x:c r="H33" s="17" t="str">
        <x:v>钱波</x:v>
      </x:c>
      <x:c r="I33" s="23" t="n">
        <x:v>46263.166666666664</x:v>
      </x:c>
      <x:c r="J33" s="17" t="str">
        <x:v>R1 已完成</x:v>
      </x:c>
      <x:c r="K33" s="17" t="str"/>
    </x:row>
    <x:row r="34">
      <x:c r="A34" s="17" t="n">
        <x:v>30</x:v>
      </x:c>
      <x:c r="B34" s="17" t="str">
        <x:v>热处理炉大修费用怎么算</x:v>
      </x:c>
      <x:c r="C34" s="17" t="str">
        <x:v>非品牌词</x:v>
      </x:c>
      <x:c r="D34" s="17" t="str">
        <x:v>价格与预算</x:v>
      </x:c>
      <x:c r="E34" s="17" t="str">
        <x:v>高</x:v>
      </x:c>
      <x:c r="F34" s="17" t="str">
        <x:v>否</x:v>
      </x:c>
      <x:c r="G34" s="17" t="str">
        <x:v>每月/每6周</x:v>
      </x:c>
      <x:c r="H34" s="17" t="str">
        <x:v>钱波</x:v>
      </x:c>
      <x:c r="I34" s="23" t="n">
        <x:v>46263.166666666664</x:v>
      </x:c>
      <x:c r="J34" s="17" t="str">
        <x:v>R1 已完成</x:v>
      </x:c>
      <x:c r="K34" s="17" t="str"/>
    </x:row>
    <x:row r="35">
      <x:c r="A35" s="17" t="n">
        <x:v>31</x:v>
      </x:c>
      <x:c r="B35" s="17" t="str">
        <x:v>老旧工业炉改造预算怎么估算</x:v>
      </x:c>
      <x:c r="C35" s="17" t="str">
        <x:v>非品牌词</x:v>
      </x:c>
      <x:c r="D35" s="17" t="str">
        <x:v>价格与预算</x:v>
      </x:c>
      <x:c r="E35" s="17" t="str">
        <x:v>高</x:v>
      </x:c>
      <x:c r="F35" s="17" t="str">
        <x:v>否</x:v>
      </x:c>
      <x:c r="G35" s="17" t="str">
        <x:v>每月/每6周</x:v>
      </x:c>
      <x:c r="H35" s="17" t="str">
        <x:v>钱波</x:v>
      </x:c>
      <x:c r="I35" s="23" t="n">
        <x:v>46263.166666666664</x:v>
      </x:c>
      <x:c r="J35" s="17" t="str">
        <x:v>R1 已完成</x:v>
      </x:c>
      <x:c r="K35" s="17" t="str"/>
    </x:row>
    <x:row r="36">
      <x:c r="A36" s="17" t="n">
        <x:v>32</x:v>
      </x:c>
      <x:c r="B36" s="17" t="str">
        <x:v>热处理炉控制系统升级大概多少钱</x:v>
      </x:c>
      <x:c r="C36" s="17" t="str">
        <x:v>非品牌词</x:v>
      </x:c>
      <x:c r="D36" s="17" t="str">
        <x:v>价格与预算</x:v>
      </x:c>
      <x:c r="E36" s="17" t="str">
        <x:v>高</x:v>
      </x:c>
      <x:c r="F36" s="17" t="str">
        <x:v>否</x:v>
      </x:c>
      <x:c r="G36" s="17" t="str">
        <x:v>每月/每6周</x:v>
      </x:c>
      <x:c r="H36" s="17" t="str">
        <x:v>钱波</x:v>
      </x:c>
      <x:c r="I36" s="23" t="n">
        <x:v>46263.166666666664</x:v>
      </x:c>
      <x:c r="J36" s="17" t="str">
        <x:v>R1 已完成</x:v>
      </x:c>
      <x:c r="K36" s="17" t="str"/>
    </x:row>
    <x:row r="37">
      <x:c r="A37" s="17" t="n">
        <x:v>33</x:v>
      </x:c>
      <x:c r="B37" s="17" t="str">
        <x:v>热处理炉节能改造有哪些风险</x:v>
      </x:c>
      <x:c r="C37" s="17" t="str">
        <x:v>非品牌词</x:v>
      </x:c>
      <x:c r="D37" s="17" t="str">
        <x:v>节能与ROI</x:v>
      </x:c>
      <x:c r="E37" s="17" t="str">
        <x:v>中</x:v>
      </x:c>
      <x:c r="F37" s="17" t="str">
        <x:v>否</x:v>
      </x:c>
      <x:c r="G37" s="17" t="str">
        <x:v>每月/每6周</x:v>
      </x:c>
      <x:c r="H37" s="17" t="str">
        <x:v>钱波</x:v>
      </x:c>
      <x:c r="I37" s="23" t="n">
        <x:v>46263.166666666664</x:v>
      </x:c>
      <x:c r="J37" s="17" t="str">
        <x:v>R1 已完成</x:v>
      </x:c>
      <x:c r="K37" s="17" t="str"/>
    </x:row>
    <x:row r="38">
      <x:c r="A38" s="17" t="n">
        <x:v>34</x:v>
      </x:c>
      <x:c r="B38" s="17" t="str">
        <x:v>老旧热处理炉改造失败的原因</x:v>
      </x:c>
      <x:c r="C38" s="17" t="str">
        <x:v>非品牌词</x:v>
      </x:c>
      <x:c r="D38" s="17" t="str">
        <x:v>风险管理</x:v>
      </x:c>
      <x:c r="E38" s="17" t="str">
        <x:v>中</x:v>
      </x:c>
      <x:c r="F38" s="17" t="str">
        <x:v>否</x:v>
      </x:c>
      <x:c r="G38" s="17" t="str">
        <x:v>每月/每6周</x:v>
      </x:c>
      <x:c r="H38" s="17" t="str">
        <x:v>钱波</x:v>
      </x:c>
      <x:c r="I38" s="23" t="n">
        <x:v>46263.166666666664</x:v>
      </x:c>
      <x:c r="J38" s="17" t="str">
        <x:v>R1 已完成</x:v>
      </x:c>
      <x:c r="K38" s="17" t="str"/>
    </x:row>
    <x:row r="39">
      <x:c r="A39" s="17" t="n">
        <x:v>35</x:v>
      </x:c>
      <x:c r="B39" s="17" t="str">
        <x:v>工业炉改造后温度还是不均怎么办</x:v>
      </x:c>
      <x:c r="C39" s="17" t="str">
        <x:v>非品牌词</x:v>
      </x:c>
      <x:c r="D39" s="17" t="str">
        <x:v>综合方案</x:v>
      </x:c>
      <x:c r="E39" s="17" t="str">
        <x:v>一般</x:v>
      </x:c>
      <x:c r="F39" s="17" t="str">
        <x:v>否</x:v>
      </x:c>
      <x:c r="G39" s="17" t="str">
        <x:v>每月/每6周</x:v>
      </x:c>
      <x:c r="H39" s="17" t="str">
        <x:v>钱波</x:v>
      </x:c>
      <x:c r="I39" s="23" t="n">
        <x:v>46263.166666666664</x:v>
      </x:c>
      <x:c r="J39" s="17" t="str">
        <x:v>R1 已完成</x:v>
      </x:c>
      <x:c r="K39" s="17" t="str"/>
    </x:row>
    <x:row r="40">
      <x:c r="A40" s="17" t="n">
        <x:v>36</x:v>
      </x:c>
      <x:c r="B40" s="17" t="str">
        <x:v>热处理炉改造会影响生产吗</x:v>
      </x:c>
      <x:c r="C40" s="17" t="str">
        <x:v>非品牌词</x:v>
      </x:c>
      <x:c r="D40" s="17" t="str">
        <x:v>周期与生产影响</x:v>
      </x:c>
      <x:c r="E40" s="17" t="str">
        <x:v>一般</x:v>
      </x:c>
      <x:c r="F40" s="17" t="str">
        <x:v>是</x:v>
      </x:c>
      <x:c r="G40" s="17" t="str">
        <x:v>双周</x:v>
      </x:c>
      <x:c r="H40" s="17" t="str">
        <x:v>钱波</x:v>
      </x:c>
      <x:c r="I40" s="23" t="n">
        <x:v>46246.166666666664</x:v>
      </x:c>
      <x:c r="J40" s="17" t="str">
        <x:v>R1 已完成</x:v>
      </x:c>
      <x:c r="K40" s="17" t="str"/>
    </x:row>
    <x:row r="41">
      <x:c r="A41" s="17" t="n">
        <x:v>37</x:v>
      </x:c>
      <x:c r="B41" s="17" t="str">
        <x:v>热处理炉节能改造停产多久</x:v>
      </x:c>
      <x:c r="C41" s="17" t="str">
        <x:v>非品牌词</x:v>
      </x:c>
      <x:c r="D41" s="17" t="str">
        <x:v>节能与ROI</x:v>
      </x:c>
      <x:c r="E41" s="17" t="str">
        <x:v>高</x:v>
      </x:c>
      <x:c r="F41" s="17" t="str">
        <x:v>否</x:v>
      </x:c>
      <x:c r="G41" s="17" t="str">
        <x:v>每月/每6周</x:v>
      </x:c>
      <x:c r="H41" s="17" t="str">
        <x:v>钱波</x:v>
      </x:c>
      <x:c r="I41" s="23" t="n">
        <x:v>46263.166666666664</x:v>
      </x:c>
      <x:c r="J41" s="17" t="str">
        <x:v>R1 已完成</x:v>
      </x:c>
      <x:c r="K41" s="17" t="str"/>
    </x:row>
    <x:row r="42">
      <x:c r="A42" s="17" t="n">
        <x:v>38</x:v>
      </x:c>
      <x:c r="B42" s="17" t="str">
        <x:v>我们厂的老热处理炉耗电太高，应该怎么改</x:v>
      </x:c>
      <x:c r="C42" s="17" t="str">
        <x:v>非品牌词</x:v>
      </x:c>
      <x:c r="D42" s="17" t="str">
        <x:v>节能与ROI</x:v>
      </x:c>
      <x:c r="E42" s="17" t="str">
        <x:v>中</x:v>
      </x:c>
      <x:c r="F42" s="17" t="str">
        <x:v>否</x:v>
      </x:c>
      <x:c r="G42" s="17" t="str">
        <x:v>每月/每6周</x:v>
      </x:c>
      <x:c r="H42" s="17" t="str">
        <x:v>钱波</x:v>
      </x:c>
      <x:c r="I42" s="23" t="n">
        <x:v>46263.166666666664</x:v>
      </x:c>
      <x:c r="J42" s="17" t="str">
        <x:v>R1 已完成</x:v>
      </x:c>
      <x:c r="K42" s="17" t="str"/>
    </x:row>
    <x:row r="43">
      <x:c r="A43" s="17" t="n">
        <x:v>39</x:v>
      </x:c>
      <x:c r="B43" s="17" t="str">
        <x:v>老炉子用了十几年，是大修好还是直接买新的</x:v>
      </x:c>
      <x:c r="C43" s="17" t="str">
        <x:v>非品牌词</x:v>
      </x:c>
      <x:c r="D43" s="17" t="str">
        <x:v>改造决策</x:v>
      </x:c>
      <x:c r="E43" s="17" t="str">
        <x:v>一般</x:v>
      </x:c>
      <x:c r="F43" s="17" t="str">
        <x:v>否</x:v>
      </x:c>
      <x:c r="G43" s="17" t="str">
        <x:v>每月/每6周</x:v>
      </x:c>
      <x:c r="H43" s="17" t="str">
        <x:v>钱波</x:v>
      </x:c>
      <x:c r="I43" s="23" t="n">
        <x:v>46263.166666666664</x:v>
      </x:c>
      <x:c r="J43" s="17" t="str">
        <x:v>R1 已完成</x:v>
      </x:c>
      <x:c r="K43" s="17" t="str"/>
    </x:row>
    <x:row r="44">
      <x:c r="A44" s="17" t="n">
        <x:v>40</x:v>
      </x:c>
      <x:c r="B44" s="17" t="str">
        <x:v>热处理炉温度不均，找厂家改造要看哪些能力</x:v>
      </x:c>
      <x:c r="C44" s="17" t="str">
        <x:v>非品牌词</x:v>
      </x:c>
      <x:c r="D44" s="17" t="str">
        <x:v>验收与质量</x:v>
      </x:c>
      <x:c r="E44" s="17" t="str">
        <x:v>高</x:v>
      </x:c>
      <x:c r="F44" s="17" t="str">
        <x:v>否</x:v>
      </x:c>
      <x:c r="G44" s="17" t="str">
        <x:v>每月/每6周</x:v>
      </x:c>
      <x:c r="H44" s="17" t="str">
        <x:v>钱波</x:v>
      </x:c>
      <x:c r="I44" s="23" t="n">
        <x:v>46263.166666666664</x:v>
      </x:c>
      <x:c r="J44" s="17" t="str">
        <x:v>R1 已完成</x:v>
      </x:c>
      <x:c r="K44" s="17" t="str"/>
    </x:row>
    <x:row r="45">
      <x:c r="A45" s="17" t="n">
        <x:v>41</x:v>
      </x:c>
      <x:c r="B45" s="17" t="str">
        <x:v>江苏有没有做工业炉节能改造比较靠谱的厂家</x:v>
      </x:c>
      <x:c r="C45" s="17" t="str">
        <x:v>非品牌词</x:v>
      </x:c>
      <x:c r="D45" s="17" t="str">
        <x:v>节能与ROI</x:v>
      </x:c>
      <x:c r="E45" s="17" t="str">
        <x:v>高</x:v>
      </x:c>
      <x:c r="F45" s="17" t="str">
        <x:v>是</x:v>
      </x:c>
      <x:c r="G45" s="17" t="str">
        <x:v>双周</x:v>
      </x:c>
      <x:c r="H45" s="17" t="str">
        <x:v>钱波</x:v>
      </x:c>
      <x:c r="I45" s="23" t="n">
        <x:v>46246.166666666664</x:v>
      </x:c>
      <x:c r="J45" s="17" t="str">
        <x:v>R1 已完成</x:v>
      </x:c>
      <x:c r="K45" s="17" t="str"/>
    </x:row>
    <x:row r="46">
      <x:c r="A46" s="17" t="n">
        <x:v>42</x:v>
      </x:c>
      <x:c r="B46" s="17" t="str">
        <x:v>热处理炉改造前需要准备哪些资料给厂家</x:v>
      </x:c>
      <x:c r="C46" s="17" t="str">
        <x:v>非品牌词</x:v>
      </x:c>
      <x:c r="D46" s="17" t="str">
        <x:v>厂家选择</x:v>
      </x:c>
      <x:c r="E46" s="17" t="str">
        <x:v>高</x:v>
      </x:c>
      <x:c r="F46" s="17" t="str">
        <x:v>是</x:v>
      </x:c>
      <x:c r="G46" s="17" t="str">
        <x:v>双周</x:v>
      </x:c>
      <x:c r="H46" s="17" t="str">
        <x:v>钱波</x:v>
      </x:c>
      <x:c r="I46" s="23" t="n">
        <x:v>46246.166666666664</x:v>
      </x:c>
      <x:c r="J46" s="17" t="str">
        <x:v>R1 已完成</x:v>
      </x:c>
      <x:c r="K46" s="17" t="str"/>
    </x:row>
    <x:row r="47">
      <x:c r="A47" s="17" t="n">
        <x:v>43</x:v>
      </x:c>
      <x:c r="B47" s="17" t="str">
        <x:v>苏能工业炉怎么样</x:v>
      </x:c>
      <x:c r="C47" s="17" t="str">
        <x:v>品牌词</x:v>
      </x:c>
      <x:c r="D47" s="17" t="str">
        <x:v>品牌验证</x:v>
      </x:c>
      <x:c r="E47" s="17" t="str">
        <x:v>中</x:v>
      </x:c>
      <x:c r="F47" s="17" t="str">
        <x:v>否</x:v>
      </x:c>
      <x:c r="G47" s="17" t="str">
        <x:v>每月/每6周</x:v>
      </x:c>
      <x:c r="H47" s="17" t="str">
        <x:v>钱波</x:v>
      </x:c>
      <x:c r="I47" s="23" t="n">
        <x:v>46263.166666666664</x:v>
      </x:c>
      <x:c r="J47" s="17" t="str">
        <x:v>R1 已完成</x:v>
      </x:c>
      <x:c r="K47" s="17" t="str"/>
    </x:row>
    <x:row r="48">
      <x:c r="A48" s="17" t="n">
        <x:v>44</x:v>
      </x:c>
      <x:c r="B48" s="17" t="str">
        <x:v>苏能工业炉是厂家吗</x:v>
      </x:c>
      <x:c r="C48" s="17" t="str">
        <x:v>品牌词</x:v>
      </x:c>
      <x:c r="D48" s="17" t="str">
        <x:v>品牌验证</x:v>
      </x:c>
      <x:c r="E48" s="17" t="str">
        <x:v>高</x:v>
      </x:c>
      <x:c r="F48" s="17" t="str">
        <x:v>否</x:v>
      </x:c>
      <x:c r="G48" s="17" t="str">
        <x:v>每月/每6周</x:v>
      </x:c>
      <x:c r="H48" s="17" t="str">
        <x:v>钱波</x:v>
      </x:c>
      <x:c r="I48" s="23" t="n">
        <x:v>46263.166666666664</x:v>
      </x:c>
      <x:c r="J48" s="17" t="str">
        <x:v>R1 已完成</x:v>
      </x:c>
      <x:c r="K48" s="17" t="str"/>
    </x:row>
    <x:row r="49">
      <x:c r="A49" s="17" t="n">
        <x:v>45</x:v>
      </x:c>
      <x:c r="B49" s="17" t="str">
        <x:v>苏能工业炉主要做什么</x:v>
      </x:c>
      <x:c r="C49" s="17" t="str">
        <x:v>品牌词</x:v>
      </x:c>
      <x:c r="D49" s="17" t="str">
        <x:v>品牌验证</x:v>
      </x:c>
      <x:c r="E49" s="17" t="str">
        <x:v>中</x:v>
      </x:c>
      <x:c r="F49" s="17" t="str">
        <x:v>否</x:v>
      </x:c>
      <x:c r="G49" s="17" t="str">
        <x:v>每月/每6周</x:v>
      </x:c>
      <x:c r="H49" s="17" t="str">
        <x:v>钱波</x:v>
      </x:c>
      <x:c r="I49" s="23" t="n">
        <x:v>46263.166666666664</x:v>
      </x:c>
      <x:c r="J49" s="17" t="str">
        <x:v>R1 已完成</x:v>
      </x:c>
      <x:c r="K49" s="17" t="str"/>
    </x:row>
    <x:row r="50">
      <x:c r="A50" s="17" t="n">
        <x:v>46</x:v>
      </x:c>
      <x:c r="B50" s="17" t="str">
        <x:v>苏能工业炉有哪些案例</x:v>
      </x:c>
      <x:c r="C50" s="17" t="str">
        <x:v>品牌词</x:v>
      </x:c>
      <x:c r="D50" s="17" t="str">
        <x:v>品牌验证</x:v>
      </x:c>
      <x:c r="E50" s="17" t="str">
        <x:v>中</x:v>
      </x:c>
      <x:c r="F50" s="17" t="str">
        <x:v>否</x:v>
      </x:c>
      <x:c r="G50" s="17" t="str">
        <x:v>每月/每6周</x:v>
      </x:c>
      <x:c r="H50" s="17" t="str">
        <x:v>钱波</x:v>
      </x:c>
      <x:c r="I50" s="23" t="n">
        <x:v>46263.166666666664</x:v>
      </x:c>
      <x:c r="J50" s="17" t="str">
        <x:v>R1 已完成</x:v>
      </x:c>
      <x:c r="K50" s="17" t="str"/>
    </x:row>
    <x:row r="51">
      <x:c r="A51" s="17" t="n">
        <x:v>47</x:v>
      </x:c>
      <x:c r="B51" s="17" t="str">
        <x:v>苏能工业炉能做热处理炉改造吗</x:v>
      </x:c>
      <x:c r="C51" s="17" t="str">
        <x:v>品牌词</x:v>
      </x:c>
      <x:c r="D51" s="17" t="str">
        <x:v>品牌验证</x:v>
      </x:c>
      <x:c r="E51" s="17" t="str">
        <x:v>中</x:v>
      </x:c>
      <x:c r="F51" s="17" t="str">
        <x:v>否</x:v>
      </x:c>
      <x:c r="G51" s="17" t="str">
        <x:v>每月/每6周</x:v>
      </x:c>
      <x:c r="H51" s="17" t="str">
        <x:v>钱波</x:v>
      </x:c>
      <x:c r="I51" s="23" t="n">
        <x:v>46263.166666666664</x:v>
      </x:c>
      <x:c r="J51" s="17" t="str">
        <x:v>R1 已完成</x:v>
      </x:c>
      <x:c r="K51" s="17" t="str"/>
    </x:row>
    <x:row r="52">
      <x:c r="A52" s="17" t="n">
        <x:v>48</x:v>
      </x:c>
      <x:c r="B52" s="17" t="str">
        <x:v>江苏苏能工业炉有限公司怎么样</x:v>
      </x:c>
      <x:c r="C52" s="17" t="str">
        <x:v>品牌词</x:v>
      </x:c>
      <x:c r="D52" s="17" t="str">
        <x:v>品牌验证</x:v>
      </x:c>
      <x:c r="E52" s="17" t="str">
        <x:v>中</x:v>
      </x:c>
      <x:c r="F52" s="17" t="str">
        <x:v>否</x:v>
      </x:c>
      <x:c r="G52" s="17" t="str">
        <x:v>每月/每6周</x:v>
      </x:c>
      <x:c r="H52" s="17" t="str">
        <x:v>钱波</x:v>
      </x:c>
      <x:c r="I52" s="23" t="n">
        <x:v>46263.166666666664</x:v>
      </x:c>
      <x:c r="J52" s="17" t="str">
        <x:v>R1 已完成</x:v>
      </x:c>
      <x:c r="K52" s="17" t="str"/>
    </x:row>
    <x:row r="53">
      <x:c r="A53" s="17" t="n">
        <x:v>49</x:v>
      </x:c>
      <x:c r="B53" s="17" t="str">
        <x:v>苏能工业炉和丰东热处理有什么区别</x:v>
      </x:c>
      <x:c r="C53" s="17" t="str">
        <x:v>品牌词</x:v>
      </x:c>
      <x:c r="D53" s="17" t="str">
        <x:v>品牌验证</x:v>
      </x:c>
      <x:c r="E53" s="17" t="str">
        <x:v>中</x:v>
      </x:c>
      <x:c r="F53" s="17" t="str">
        <x:v>否</x:v>
      </x:c>
      <x:c r="G53" s="17" t="str">
        <x:v>每月/每6周</x:v>
      </x:c>
      <x:c r="H53" s="17" t="str">
        <x:v>钱波</x:v>
      </x:c>
      <x:c r="I53" s="23" t="n">
        <x:v>46263.166666666664</x:v>
      </x:c>
      <x:c r="J53" s="17" t="str">
        <x:v>R1 已完成</x:v>
      </x:c>
      <x:c r="K53" s="17" t="str"/>
    </x:row>
    <x:row r="54">
      <x:c r="A54" s="17" t="n">
        <x:v>50</x:v>
      </x:c>
      <x:c r="B54" s="17" t="str">
        <x:v>苏能工业炉有哪些资质和专利</x:v>
      </x:c>
      <x:c r="C54" s="17" t="str">
        <x:v>品牌词</x:v>
      </x:c>
      <x:c r="D54" s="17" t="str">
        <x:v>品牌验证</x:v>
      </x:c>
      <x:c r="E54" s="17" t="str">
        <x:v>中</x:v>
      </x:c>
      <x:c r="F54" s="17" t="str">
        <x:v>否</x:v>
      </x:c>
      <x:c r="G54" s="17" t="str">
        <x:v>每月/每6周</x:v>
      </x:c>
      <x:c r="H54" s="17" t="str">
        <x:v>钱波</x:v>
      </x:c>
      <x:c r="I54" s="23" t="n">
        <x:v>46263.166666666664</x:v>
      </x:c>
      <x:c r="J54" s="17" t="str">
        <x:v>R1 已完成</x:v>
      </x:c>
      <x:c r="K54" s="17" t="str"/>
    </x:row>
    <x:row r="55">
      <x:c r="A55" s="17" t="n">
        <x:v>51</x:v>
      </x:c>
      <x:c r="B55" s="17" t="str">
        <x:v>江苏丰东热处理怎么样</x:v>
      </x:c>
      <x:c r="C55" s="17" t="str">
        <x:v>非品牌词</x:v>
      </x:c>
      <x:c r="D55" s="17" t="str">
        <x:v>综合方案</x:v>
      </x:c>
      <x:c r="E55" s="17" t="str">
        <x:v>一般</x:v>
      </x:c>
      <x:c r="F55" s="17" t="str">
        <x:v>否</x:v>
      </x:c>
      <x:c r="G55" s="17" t="str">
        <x:v>每月/每6周</x:v>
      </x:c>
      <x:c r="H55" s="17" t="str">
        <x:v>钱波</x:v>
      </x:c>
      <x:c r="I55" s="23" t="n">
        <x:v>46263.166666666664</x:v>
      </x:c>
      <x:c r="J55" s="17" t="str">
        <x:v>R1 已完成</x:v>
      </x:c>
      <x:c r="K55" s="17" t="str"/>
    </x:row>
    <x:row r="56">
      <x:c r="A56" s="17" t="n">
        <x:v>52</x:v>
      </x:c>
      <x:c r="B56" s="17" t="str">
        <x:v>丹阳丰泰工业炉怎么样</x:v>
      </x:c>
      <x:c r="C56" s="17" t="str">
        <x:v>非品牌词</x:v>
      </x:c>
      <x:c r="D56" s="17" t="str">
        <x:v>综合方案</x:v>
      </x:c>
      <x:c r="E56" s="17" t="str">
        <x:v>一般</x:v>
      </x:c>
      <x:c r="F56" s="17" t="str">
        <x:v>否</x:v>
      </x:c>
      <x:c r="G56" s="17" t="str">
        <x:v>每月/每6周</x:v>
      </x:c>
      <x:c r="H56" s="17" t="str">
        <x:v>钱波</x:v>
      </x:c>
      <x:c r="I56" s="23" t="n">
        <x:v>46263.166666666664</x:v>
      </x:c>
      <x:c r="J56" s="17" t="str">
        <x:v>R1 已完成</x:v>
      </x:c>
      <x:c r="K56" s="17" t="str"/>
    </x:row>
    <x:row r="57">
      <x:c r="A57" s="17" t="n">
        <x:v>53</x:v>
      </x:c>
      <x:c r="B57" s="17" t="str">
        <x:v>国内做热处理炉最好的公司</x:v>
      </x:c>
      <x:c r="C57" s="17" t="str">
        <x:v>非品牌词</x:v>
      </x:c>
      <x:c r="D57" s="17" t="str">
        <x:v>厂家选择</x:v>
      </x:c>
      <x:c r="E57" s="17" t="str">
        <x:v>一般</x:v>
      </x:c>
      <x:c r="F57" s="17" t="str">
        <x:v>否</x:v>
      </x:c>
      <x:c r="G57" s="17" t="str">
        <x:v>每月/每6周</x:v>
      </x:c>
      <x:c r="H57" s="17" t="str">
        <x:v>钱波</x:v>
      </x:c>
      <x:c r="I57" s="23" t="n">
        <x:v>46263.166666666664</x:v>
      </x:c>
      <x:c r="J57" s="17" t="str">
        <x:v>R1 已完成</x:v>
      </x:c>
      <x:c r="K57" s="17" t="str"/>
    </x:row>
    <x:row r="58">
      <x:c r="A58" s="17" t="n">
        <x:v>54</x:v>
      </x:c>
      <x:c r="B58" s="17" t="str">
        <x:v>国内不锈钢退火炉头部厂家</x:v>
      </x:c>
      <x:c r="C58" s="17" t="str">
        <x:v>非品牌词</x:v>
      </x:c>
      <x:c r="D58" s="17" t="str">
        <x:v>厂家选择</x:v>
      </x:c>
      <x:c r="E58" s="17" t="str">
        <x:v>高</x:v>
      </x:c>
      <x:c r="F58" s="17" t="str">
        <x:v>否</x:v>
      </x:c>
      <x:c r="G58" s="17" t="str">
        <x:v>每月/每6周</x:v>
      </x:c>
      <x:c r="H58" s="17" t="str">
        <x:v>钱波</x:v>
      </x:c>
      <x:c r="I58" s="23" t="n">
        <x:v>46263.166666666664</x:v>
      </x:c>
      <x:c r="J58" s="17" t="str">
        <x:v>R1 已完成</x:v>
      </x:c>
      <x:c r="K58" s="17" t="str"/>
    </x:row>
    <x:row r="59">
      <x:c r="A59" s="17" t="n">
        <x:v>55</x:v>
      </x:c>
      <x:c r="B59" s="17" t="str">
        <x:v>国内工业炉节能改造头部公司</x:v>
      </x:c>
      <x:c r="C59" s="17" t="str">
        <x:v>非品牌词</x:v>
      </x:c>
      <x:c r="D59" s="17" t="str">
        <x:v>节能与ROI</x:v>
      </x:c>
      <x:c r="E59" s="17" t="str">
        <x:v>一般</x:v>
      </x:c>
      <x:c r="F59" s="17" t="str">
        <x:v>否</x:v>
      </x:c>
      <x:c r="G59" s="17" t="str">
        <x:v>每月/每6周</x:v>
      </x:c>
      <x:c r="H59" s="17" t="str">
        <x:v>钱波</x:v>
      </x:c>
      <x:c r="I59" s="23" t="n">
        <x:v>46263.166666666664</x:v>
      </x:c>
      <x:c r="J59" s="17" t="str">
        <x:v>R1 已完成</x:v>
      </x:c>
      <x:c r="K59" s="17" t="str"/>
    </x:row>
  </x:sheetData>
  <x:mergeCells>
    <x:mergeCell ref="A1:K2"/>
  </x:mergeCells>
  <x:conditionalFormatting sqref="F5:F59">
    <x:cfRule type="containsText" dxfId="2" priority="1" operator="containsText" text="是"/>
  </x:conditionalFormatting>
  <x:dataValidations count="3">
    <x:dataValidation type="list" sqref="E5:E59">
      <x:formula1>"高,中,一般"</x:formula1>
    </x:dataValidation>
    <x:dataValidation type="list" sqref="F5:F59">
      <x:formula1>"是,否"</x:formula1>
    </x:dataValidation>
    <x:dataValidation type="list" sqref="J5:J59">
      <x:formula1>"待测试,测试中,R1 已完成,需复核"</x:formula1>
    </x:dataValidation>
  </x:dataValidations>
  <x:pageMargins left="0.7" right="0.7" top="0.75" bottom="0.75" header="0.3" footer="0.3"/>
  <x:tableParts count="1">
    <x:tablePart xmlns:r="http://schemas.openxmlformats.org/officeDocument/2006/relationships" r:id="Re0118f8429604c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40" hidden="0" customWidth="1"/>
    <x:col min="4" max="4" width="18" hidden="0" customWidth="1"/>
    <x:col min="5" max="5" width="18" hidden="0" customWidth="1"/>
    <x:col min="6" max="6" width="18" hidden="0" customWidth="1"/>
    <x:col min="7" max="7" width="18" hidden="0" customWidth="1"/>
    <x:col min="8" max="8" width="18" hidden="0" customWidth="1"/>
    <x:col min="9" max="9" width="48" hidden="0" customWidth="1"/>
    <x:col min="10" max="10" width="48" hidden="0" customWidth="1"/>
    <x:col min="11" max="11" width="48" hidden="0" customWidth="1"/>
    <x:col min="12" max="12" width="48" hidden="0" customWidth="1"/>
    <x:col min="13" max="13" width="48" hidden="0" customWidth="1"/>
    <x:col min="14" max="14" width="4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5" hidden="0" customWidth="1"/>
    <x:col min="23" max="23" width="15" hidden="0" customWidth="1"/>
    <x:col min="24" max="24" width="44" hidden="0" customWidth="1"/>
  </x:cols>
  <x:sheetData>
    <x:row r="1" ht="54" customHeight="1">
      <x:c r="A1" s="4" t="str">
        <x:v>18 项案例资产事实单元与三门审核
精确参数公开必须同时通过：技术准确、公司允许、客户允许。当前全部保留待确认。</x:v>
      </x:c>
      <x:c r="B1" s="4" t="str">
        <x:v>18 项案例资产事实单元与三门审核
精确参数公开必须同时通过：技术准确、公司允许、客户允许。当前全部保留待确认。</x:v>
      </x:c>
      <x:c r="C1" s="4" t="str">
        <x:v>18 项案例资产事实单元与三门审核
精确参数公开必须同时通过：技术准确、公司允许、客户允许。当前全部保留待确认。</x:v>
      </x:c>
      <x:c r="D1" s="4" t="str">
        <x:v>18 项案例资产事实单元与三门审核
精确参数公开必须同时通过：技术准确、公司允许、客户允许。当前全部保留待确认。</x:v>
      </x:c>
      <x:c r="E1" s="4" t="str">
        <x:v>18 项案例资产事实单元与三门审核
精确参数公开必须同时通过：技术准确、公司允许、客户允许。当前全部保留待确认。</x:v>
      </x:c>
      <x:c r="F1" s="4" t="str">
        <x:v>18 项案例资产事实单元与三门审核
精确参数公开必须同时通过：技术准确、公司允许、客户允许。当前全部保留待确认。</x:v>
      </x:c>
      <x:c r="G1" s="4" t="str">
        <x:v>18 项案例资产事实单元与三门审核
精确参数公开必须同时通过：技术准确、公司允许、客户允许。当前全部保留待确认。</x:v>
      </x:c>
      <x:c r="H1" s="4" t="str">
        <x:v>18 项案例资产事实单元与三门审核
精确参数公开必须同时通过：技术准确、公司允许、客户允许。当前全部保留待确认。</x:v>
      </x:c>
    </x:row>
    <x:row r="2" ht="54" customHeight="1">
      <x:c r="A2" s="4" t="str">
        <x:v>18 项案例资产事实单元与三门审核
精确参数公开必须同时通过：技术准确、公司允许、客户允许。当前全部保留待确认。</x:v>
      </x:c>
      <x:c r="B2" s="4" t="str">
        <x:v>18 项案例资产事实单元与三门审核
精确参数公开必须同时通过：技术准确、公司允许、客户允许。当前全部保留待确认。</x:v>
      </x:c>
      <x:c r="C2" s="4" t="str">
        <x:v>18 项案例资产事实单元与三门审核
精确参数公开必须同时通过：技术准确、公司允许、客户允许。当前全部保留待确认。</x:v>
      </x:c>
      <x:c r="D2" s="4" t="str">
        <x:v>18 项案例资产事实单元与三门审核
精确参数公开必须同时通过：技术准确、公司允许、客户允许。当前全部保留待确认。</x:v>
      </x:c>
      <x:c r="E2" s="4" t="str">
        <x:v>18 项案例资产事实单元与三门审核
精确参数公开必须同时通过：技术准确、公司允许、客户允许。当前全部保留待确认。</x:v>
      </x:c>
      <x:c r="F2" s="4" t="str">
        <x:v>18 项案例资产事实单元与三门审核
精确参数公开必须同时通过：技术准确、公司允许、客户允许。当前全部保留待确认。</x:v>
      </x:c>
      <x:c r="G2" s="4" t="str">
        <x:v>18 项案例资产事实单元与三门审核
精确参数公开必须同时通过：技术准确、公司允许、客户允许。当前全部保留待确认。</x:v>
      </x:c>
      <x:c r="H2" s="4" t="str">
        <x:v>18 项案例资产事实单元与三门审核
精确参数公开必须同时通过：技术准确、公司允许、客户允许。当前全部保留待确认。</x:v>
      </x:c>
    </x:row>
    <x:row r="4" ht="30" customHeight="1">
      <x:c r="A4" s="24" t="str">
        <x:v>事实编号</x:v>
      </x:c>
      <x:c r="B4" s="24" t="str">
        <x:v>优先级</x:v>
      </x:c>
      <x:c r="C4" s="24" t="str">
        <x:v>案例标题</x:v>
      </x:c>
      <x:c r="D4" s="24" t="str">
        <x:v>客户脱敏名</x:v>
      </x:c>
      <x:c r="E4" s="24" t="str">
        <x:v>名称公开等级</x:v>
      </x:c>
      <x:c r="F4" s="24" t="str">
        <x:v>行业</x:v>
      </x:c>
      <x:c r="G4" s="24" t="str">
        <x:v>炉型/产线</x:v>
      </x:c>
      <x:c r="H4" s="24" t="str">
        <x:v>项目类型</x:v>
      </x:c>
      <x:c r="I4" s="24" t="str">
        <x:v>数字与参数</x:v>
      </x:c>
      <x:c r="J4" s="24" t="str">
        <x:v>项目难点/适用条件</x:v>
      </x:c>
      <x:c r="K4" s="24" t="str">
        <x:v>苏能提供内容</x:v>
      </x:c>
      <x:c r="L4" s="24" t="str">
        <x:v>可公开范围表达</x:v>
      </x:c>
      <x:c r="M4" s="24" t="str">
        <x:v>不适用/禁发内容</x:v>
      </x:c>
      <x:c r="N4" s="24" t="str">
        <x:v>原始证据</x:v>
      </x:c>
      <x:c r="O4" s="24" t="str">
        <x:v>官网案例</x:v>
      </x:c>
      <x:c r="P4" s="24" t="str">
        <x:v>GEO外发</x:v>
      </x:c>
      <x:c r="Q4" s="24" t="str">
        <x:v>建议承载</x:v>
      </x:c>
      <x:c r="R4" s="24" t="str">
        <x:v>技术准确</x:v>
      </x:c>
      <x:c r="S4" s="24" t="str">
        <x:v>公司允许</x:v>
      </x:c>
      <x:c r="T4" s="24" t="str">
        <x:v>客户允许</x:v>
      </x:c>
      <x:c r="U4" s="24" t="str">
        <x:v>发布状态</x:v>
      </x:c>
      <x:c r="V4" s="24" t="str">
        <x:v>技术审核人</x:v>
      </x:c>
      <x:c r="W4" s="24" t="str">
        <x:v>审核日期</x:v>
      </x:c>
      <x:c r="X4" s="24" t="str">
        <x:v>备注</x:v>
      </x:c>
    </x:row>
    <x:row r="5">
      <x:c r="A5" s="25" t="str">
        <x:v>SN-CASE-P0-001</x:v>
      </x:c>
      <x:c r="B5" s="25" t="str">
        <x:v>P0</x:v>
      </x:c>
      <x:c r="C5" s="25" t="str">
        <x:v>某工程机械零部件企业支重轮热处理生产线项目经验</x:v>
      </x:c>
      <x:c r="D5" s="25" t="str">
        <x:v>某工程机械零部件企业</x:v>
      </x:c>
      <x:c r="E5" s="25" t="str">
        <x:v>脱敏</x:v>
      </x:c>
      <x:c r="F5" s="25" t="str">
        <x:v>工程机械零部件</x:v>
      </x:c>
      <x:c r="G5" s="25" t="str">
        <x:v>支重轮热处理生产线</x:v>
      </x:c>
      <x:c r="H5" s="25" t="str">
        <x:v>生产线</x:v>
      </x:c>
      <x:c r="I5" s="25" t="str">
        <x:v>处理 PC200 至 PC400 支重轮；加热炉额定温度 950℃；有效加热区约 6400×300×300mm；设计处理能力资料中出现约 500kg/h，公开时建议表述为按工件规格单独确认。</x:v>
      </x:c>
      <x:c r="J5" s="25" t="str">
        <x:v>支重轮规格变化、节拍要求、淬火均匀性、工件旋转与喷水分段控制、加热炉与淬火机床节拍衔接。</x:v>
      </x:c>
      <x:c r="K5" s="25" t="str">
        <x:v>生产线方案设计、连续加热炉、自动淬火机床、回火炉、喷淋冷却和控制系统配置。</x:v>
      </x:c>
      <x:c r="L5" s="25" t="str">
        <x:v>可公开为支重轮连续热处理生产线项目经验，突出自动加热、淬火、回火、冷却联动和多规格适配。</x:v>
      </x:c>
      <x:c r="M5" s="25" t="str">
        <x:v>客户全称、完整工艺图纸、PLC 程序、报价和付款条款、具体联系人信息。</x:v>
      </x:c>
      <x:c r="N5" s="25" t="str">
        <x:v>docs/seo-geo/case-assets-dedup.json#SN-CASE-P0-001</x:v>
      </x:c>
      <x:c r="O5" s="25" t="str">
        <x:v>是</x:v>
      </x:c>
      <x:c r="P5" s="25" t="str">
        <x:v>是</x:v>
      </x:c>
      <x:c r="Q5" s="25" t="str">
        <x:v>案例页</x:v>
      </x:c>
      <x:c r="R5" s="25" t="str">
        <x:v>待确认</x:v>
      </x:c>
      <x:c r="S5" s="25" t="str">
        <x:v>待确认</x:v>
      </x:c>
      <x:c r="T5" s="25" t="str">
        <x:v>待确认</x:v>
      </x:c>
      <x:c r="U5" s="25" t="str">
        <x:f>IF(AND(R5="通过",S5="通过",T5="通过"),"精确值可发布",IF(OR(R5="禁发",S5="禁发",T5="禁发"),"禁发","待审核"))</x:f>
        <x:v>待审核</x:v>
      </x:c>
      <x:c r="V5" s="25" t="str"/>
      <x:c r="W5" s="26" t="str"/>
      <x:c r="X5" s="25" t="str">
        <x:v>P0 优先，适合补强连续热处理生产线主枢纽页和工程机械行业背书；公开前需客户授权或保持脱敏。</x:v>
      </x:c>
    </x:row>
    <x:row r="6">
      <x:c r="A6" s="25" t="str">
        <x:v>SN-CASE-P0-002</x:v>
      </x:c>
      <x:c r="B6" s="25" t="str">
        <x:v>P0</x:v>
      </x:c>
      <x:c r="C6" s="25" t="str">
        <x:v>某标准件 / 机械零件企业托辊网带正火回火生产线项目经验</x:v>
      </x:c>
      <x:c r="D6" s="25" t="str">
        <x:v>某标准件 / 机械零件企业</x:v>
      </x:c>
      <x:c r="E6" s="25" t="str">
        <x:v>脱敏</x:v>
      </x:c>
      <x:c r="F6" s="25" t="str">
        <x:v>标准件、机械零件、热处理外协</x:v>
      </x:c>
      <x:c r="G6" s="25" t="str">
        <x:v>托辊网带正火回火生产线</x:v>
      </x:c>
      <x:c r="H6" s="25" t="str">
        <x:v>生产线</x:v>
      </x:c>
      <x:c r="I6" s="25" t="str">
        <x:v>方案资料中出现正火炉有效宽度 800-1000mm、正火温度约 950℃、回火温度约 650℃、多区 PID 控温、变频调速网带；公开时不承诺固定产量。</x:v>
      </x:c>
      <x:c r="J6" s="25" t="str">
        <x:v>正火与回火连续衔接、快速冷却与余热利用、托辊网带同步传动、工件冷却氧化控制。</x:v>
      </x:c>
      <x:c r="K6" s="25" t="str">
        <x:v>正火炉、冷却段、回火炉、温控与传动系统方案。</x:v>
      </x:c>
      <x:c r="L6" s="25" t="str">
        <x:v>可公开托辊网带正火回火连续线的工艺链、设备组成、节拍调节和冷却段设计思路。</x:v>
      </x:c>
      <x:c r="M6" s="25" t="str">
        <x:v>客户全称、精确报价、完整布置图、供应商清单、验收细则。</x:v>
      </x:c>
      <x:c r="N6" s="25" t="str">
        <x:v>docs/seo-geo/case-assets-dedup.json#SN-CASE-P0-002</x:v>
      </x:c>
      <x:c r="O6" s="25" t="str">
        <x:v>是</x:v>
      </x:c>
      <x:c r="P6" s="25" t="str">
        <x:v>是</x:v>
      </x:c>
      <x:c r="Q6" s="25" t="str">
        <x:v>案例页</x:v>
      </x:c>
      <x:c r="R6" s="25" t="str">
        <x:v>待确认</x:v>
      </x:c>
      <x:c r="S6" s="25" t="str">
        <x:v>待确认</x:v>
      </x:c>
      <x:c r="T6" s="25" t="str">
        <x:v>待确认</x:v>
      </x:c>
      <x:c r="U6" s="25" t="str">
        <x:f>IF(AND(R6="通过",S6="通过",T6="通过"),"精确值可发布",IF(OR(R6="禁发",S6="禁发",T6="禁发"),"禁发","待审核"))</x:f>
        <x:v>待审核</x:v>
      </x:c>
      <x:c r="V6" s="25" t="str"/>
      <x:c r="W6" s="26" t="str"/>
      <x:c r="X6" s="25" t="str">
        <x:v>P0 优先，可作为托辊网带生产线、连续热处理生产线、网带炉页面的核心项目经验。</x:v>
      </x:c>
    </x:row>
    <x:row r="7">
      <x:c r="A7" s="25" t="str">
        <x:v>SN-CASE-P0-003</x:v>
      </x:c>
      <x:c r="B7" s="25" t="str">
        <x:v>P0</x:v>
      </x:c>
      <x:c r="C7" s="25" t="str">
        <x:v>某小型金属零件企业托辊式网带炉热处理生产线项目经验</x:v>
      </x:c>
      <x:c r="D7" s="25" t="str">
        <x:v>某小型金属零件企业</x:v>
      </x:c>
      <x:c r="E7" s="25" t="str">
        <x:v>脱敏</x:v>
      </x:c>
      <x:c r="F7" s="25" t="str">
        <x:v>小型金属零件、标准件、热处理外协</x:v>
      </x:c>
      <x:c r="G7" s="25" t="str">
        <x:v>托辊式网带炉热处理生产线</x:v>
      </x:c>
      <x:c r="H7" s="25" t="str">
        <x:v>生产线</x:v>
      </x:c>
      <x:c r="I7" s="25" t="str">
        <x:v>资料中出现 RCWT 系列方案、有效宽度约 800-850mm、淬火炉额定温度 950℃、回火炉 650℃、网带速度约 30-300mm/min 或 30-250mm/min，具体需按工件单独确认。</x:v>
      </x:c>
      <x:c r="J7" s="25" t="str">
        <x:v>长炉膛网带承载与托辊支撑、油槽提升与清洗段衔接、气氛/碳势控制、工件堆料状态对产能的影响。</x:v>
      </x:c>
      <x:c r="K7" s="25" t="str">
        <x:v>生产线工艺方案、淬火炉、油槽提升、清洗机、回火炉、气氛控制和电气联锁。</x:v>
      </x:c>
      <x:c r="L7" s="25" t="str">
        <x:v>可公开为托辊网带淬火回火生产线项目经验，突出托辊支撑、连续输送和配套清洗/回火联动。</x:v>
      </x:c>
      <x:c r="M7" s="25" t="str">
        <x:v>客户全称、内部报价、完整控制逻辑、油槽细部图、供应商清单。</x:v>
      </x:c>
      <x:c r="N7" s="25" t="str">
        <x:v>docs/seo-geo/case-assets-dedup.json#SN-CASE-P0-003</x:v>
      </x:c>
      <x:c r="O7" s="25" t="str">
        <x:v>是</x:v>
      </x:c>
      <x:c r="P7" s="25" t="str">
        <x:v>是</x:v>
      </x:c>
      <x:c r="Q7" s="25" t="str">
        <x:v>案例页</x:v>
      </x:c>
      <x:c r="R7" s="25" t="str">
        <x:v>待确认</x:v>
      </x:c>
      <x:c r="S7" s="25" t="str">
        <x:v>待确认</x:v>
      </x:c>
      <x:c r="T7" s="25" t="str">
        <x:v>待确认</x:v>
      </x:c>
      <x:c r="U7" s="25" t="str">
        <x:f>IF(AND(R7="通过",S7="通过",T7="通过"),"精确值可发布",IF(OR(R7="禁发",S7="禁发",T7="禁发"),"禁发","待审核"))</x:f>
        <x:v>待审核</x:v>
      </x:c>
      <x:c r="V7" s="25" t="str"/>
      <x:c r="W7" s="26" t="str"/>
      <x:c r="X7" s="25" t="str">
        <x:v>多个年份和规格资料可合并为一个脱敏项目经验，避免重复案例。</x:v>
      </x:c>
    </x:row>
    <x:row r="8">
      <x:c r="A8" s="25" t="str">
        <x:v>SN-CASE-P0-004</x:v>
      </x:c>
      <x:c r="B8" s="25" t="str">
        <x:v>P0</x:v>
      </x:c>
      <x:c r="C8" s="25" t="str">
        <x:v>某小型零件企业可控气氛网带热处理生产线项目经验</x:v>
      </x:c>
      <x:c r="D8" s="25" t="str">
        <x:v>某小型零件企业</x:v>
      </x:c>
      <x:c r="E8" s="25" t="str">
        <x:v>脱敏</x:v>
      </x:c>
      <x:c r="F8" s="25" t="str">
        <x:v>小型零件、标准件、五金件</x:v>
      </x:c>
      <x:c r="G8" s="25" t="str">
        <x:v>可控气氛托辊网带炉生产线</x:v>
      </x:c>
      <x:c r="H8" s="25" t="str">
        <x:v>生产线</x:v>
      </x:c>
      <x:c r="I8" s="25" t="str">
        <x:v>资料中出现 RCWT-75/45-9/6 型，淬火炉工作尺寸约 400×3200mm，回火炉约 400×5600mm，额定温度 950℃，生产能力约 150kg/h，网带速度约 30-250mm/min。</x:v>
      </x:c>
      <x:c r="J8" s="25" t="str">
        <x:v>小件保护气氛加热、油烟隔离、落料通道密封、炉内碳势或气氛稳定、清洗回火节拍衔接。</x:v>
      </x:c>
      <x:c r="K8" s="25" t="str">
        <x:v>保护气氛网带淬火炉、淬火槽、清洗机、回火炉、气氛控制和温控系统方案。</x:v>
      </x:c>
      <x:c r="L8" s="25" t="str">
        <x:v>可公开可控气氛托辊网带生产线的设备组成、保护气氛、淬火清洗回火联动。</x:v>
      </x:c>
      <x:c r="M8" s="25" t="str">
        <x:v>氧探头/碳势控制细节、完整电控图、客户全称、报价和付款条款。</x:v>
      </x:c>
      <x:c r="N8" s="25" t="str">
        <x:v>docs/seo-geo/case-assets-dedup.json#SN-CASE-P0-004</x:v>
      </x:c>
      <x:c r="O8" s="25" t="str">
        <x:v>是</x:v>
      </x:c>
      <x:c r="P8" s="25" t="str">
        <x:v>是</x:v>
      </x:c>
      <x:c r="Q8" s="25" t="str">
        <x:v>案例页</x:v>
      </x:c>
      <x:c r="R8" s="25" t="str">
        <x:v>待确认</x:v>
      </x:c>
      <x:c r="S8" s="25" t="str">
        <x:v>待确认</x:v>
      </x:c>
      <x:c r="T8" s="25" t="str">
        <x:v>待确认</x:v>
      </x:c>
      <x:c r="U8" s="25" t="str">
        <x:f>IF(AND(R8="通过",S8="通过",T8="通过"),"精确值可发布",IF(OR(R8="禁发",S8="禁发",T8="禁发"),"禁发","待审核"))</x:f>
        <x:v>待审核</x:v>
      </x:c>
      <x:c r="V8" s="25" t="str"/>
      <x:c r="W8" s="26" t="str"/>
      <x:c r="X8" s="25" t="str">
        <x:v>与网带式渗碳气氛生产线有主题接近，官网发布时应区分为“可控气氛淬火回火线”而非渗碳专页。</x:v>
      </x:c>
    </x:row>
    <x:row r="9">
      <x:c r="A9" s="25" t="str">
        <x:v>SN-CASE-P0-005</x:v>
      </x:c>
      <x:c r="B9" s="25" t="str">
        <x:v>P0</x:v>
      </x:c>
      <x:c r="C9" s="25" t="str">
        <x:v>某紧固件 / 金属零件企业网带式渗碳气氛热处理生产线项目经验</x:v>
      </x:c>
      <x:c r="D9" s="25" t="str">
        <x:v>某紧固件 / 金属零件企业</x:v>
      </x:c>
      <x:c r="E9" s="25" t="str">
        <x:v>脱敏</x:v>
      </x:c>
      <x:c r="F9" s="25" t="str">
        <x:v>紧固件、金属零件、热处理加工</x:v>
      </x:c>
      <x:c r="G9" s="25" t="str">
        <x:v>网带式渗碳气氛热处理生产线</x:v>
      </x:c>
      <x:c r="H9" s="25" t="str">
        <x:v>生产线</x:v>
      </x:c>
      <x:c r="I9" s="25" t="str">
        <x:v>资料中出现有效加热区约 9300×1000×100mm，最高工作温度 950℃，加热功率约 300kW，生产量资料按件/天表述；公开时需标注仅适用于该工件和节拍。</x:v>
      </x:c>
      <x:c r="J9" s="25" t="str">
        <x:v>渗碳气氛密封、油烟进入加热区控制、托辊与网带寿命、淬火槽温度与提升机构联动。</x:v>
      </x:c>
      <x:c r="K9" s="25" t="str">
        <x:v>渗碳气氛加热炉、淬火槽、托辊网带输送、气氛管路和控制系统。</x:v>
      </x:c>
      <x:c r="L9" s="25" t="str">
        <x:v>可公开为网带式渗碳气氛热处理生产线项目经验，突出气氛密封、双层托辊、淬火槽联动。</x:v>
      </x:c>
      <x:c r="M9" s="25" t="str">
        <x:v>具体客户、产量承诺、气氛配比细节、报价单、工艺配方和图纸。</x:v>
      </x:c>
      <x:c r="N9" s="25" t="str">
        <x:v>docs/seo-geo/case-assets-dedup.json#SN-CASE-P0-005</x:v>
      </x:c>
      <x:c r="O9" s="25" t="str">
        <x:v>待确认</x:v>
      </x:c>
      <x:c r="P9" s="25" t="str">
        <x:v>是</x:v>
      </x:c>
      <x:c r="Q9" s="25" t="str">
        <x:v>项目经验模块</x:v>
      </x:c>
      <x:c r="R9" s="25" t="str">
        <x:v>待确认</x:v>
      </x:c>
      <x:c r="S9" s="25" t="str">
        <x:v>待确认</x:v>
      </x:c>
      <x:c r="T9" s="25" t="str">
        <x:v>待确认</x:v>
      </x:c>
      <x:c r="U9" s="25" t="str">
        <x:f>IF(AND(R9="通过",S9="通过",T9="通过"),"精确值可发布",IF(OR(R9="禁发",S9="禁发",T9="禁发"),"禁发","待审核"))</x:f>
        <x:v>待审核</x:v>
      </x:c>
      <x:c r="V9" s="25" t="str"/>
      <x:c r="W9" s="26" t="str"/>
      <x:c r="X9" s="25" t="str">
        <x:v>渗碳/气氛内容需克制表述，避免被理解为固定成熟标准线。</x:v>
      </x:c>
    </x:row>
    <x:row r="10">
      <x:c r="A10" s="25" t="str">
        <x:v>SN-CASE-P0-006</x:v>
      </x:c>
      <x:c r="B10" s="25" t="str">
        <x:v>P0</x:v>
      </x:c>
      <x:c r="C10" s="25" t="str">
        <x:v>某不锈钢企业连续退洗线退火固溶段设备项目经验</x:v>
      </x:c>
      <x:c r="D10" s="25" t="str">
        <x:v>某不锈钢企业 / 某工程总包项目</x:v>
      </x:c>
      <x:c r="E10" s="25" t="str">
        <x:v>脱敏</x:v>
      </x:c>
      <x:c r="F10" s="25" t="str">
        <x:v>不锈钢深加工、工程总包配套</x:v>
      </x:c>
      <x:c r="G10" s="25" t="str">
        <x:v>连续退洗线退火固溶段设备</x:v>
      </x:c>
      <x:c r="H10" s="25" t="str">
        <x:v>设备分包 / 生产线</x:v>
      </x:c>
      <x:c r="I10" s="25" t="str">
        <x:v>资料中出现 850mm 热轧不锈钢连续退火钝化线、退火温度约 1050-1150℃、炉温最高可至 1300℃、退火炉主体长度约 130m、带速与 TV 值按材料规格计算。</x:v>
      </x:c>
      <x:c r="J10" s="25" t="str">
        <x:v>带材高速连续退火固溶、敏化区快速通过、分段冷却、张力与板形控制、燃烧与余热利用。</x:v>
      </x:c>
      <x:c r="K10" s="25" t="str">
        <x:v>退火固溶段工艺设计、炉体与冷却段设备、燃烧与控制系统、安装调试配合。</x:v>
      </x:c>
      <x:c r="L10" s="25" t="str">
        <x:v>可公开为不锈钢连续退洗线退火固溶段设备项目经验，强调工程总包配套和退火固溶段系统设计。</x:v>
      </x:c>
      <x:c r="M10" s="25" t="str">
        <x:v>买方/总包全称、钢种明细、完整技术协议、布置图、材料清单、报价与合同边界。</x:v>
      </x:c>
      <x:c r="N10" s="25" t="str">
        <x:v>docs/seo-geo/case-assets-dedup.json#SN-CASE-P0-006</x:v>
      </x:c>
      <x:c r="O10" s="25" t="str">
        <x:v>是</x:v>
      </x:c>
      <x:c r="P10" s="25" t="str">
        <x:v>是</x:v>
      </x:c>
      <x:c r="Q10" s="25" t="str">
        <x:v>案例页</x:v>
      </x:c>
      <x:c r="R10" s="25" t="str">
        <x:v>待确认</x:v>
      </x:c>
      <x:c r="S10" s="25" t="str">
        <x:v>待确认</x:v>
      </x:c>
      <x:c r="T10" s="25" t="str">
        <x:v>待确认</x:v>
      </x:c>
      <x:c r="U10" s="25" t="str">
        <x:f>IF(AND(R10="通过",S10="通过",T10="通过"),"精确值可发布",IF(OR(R10="禁发",S10="禁发",T10="禁发"),"禁发","待审核"))</x:f>
        <x:v>待审核</x:v>
      </x:c>
      <x:c r="V10" s="25" t="str"/>
      <x:c r="W10" s="26" t="str"/>
      <x:c r="X10" s="25" t="str">
        <x:v>P0 优先，可支撑退火固溶生产线页面和连续热处理生产线主枢纽。</x:v>
      </x:c>
    </x:row>
    <x:row r="11">
      <x:c r="A11" s="25" t="str">
        <x:v>SN-CASE-P0-007</x:v>
      </x:c>
      <x:c r="B11" s="25" t="str">
        <x:v>P0</x:v>
      </x:c>
      <x:c r="C11" s="25" t="str">
        <x:v>某不锈钢深加工企业 1250mm 连续退洗线退火固溶段设备项目经验</x:v>
      </x:c>
      <x:c r="D11" s="25" t="str">
        <x:v>某不锈钢深加工企业</x:v>
      </x:c>
      <x:c r="E11" s="25" t="str">
        <x:v>脱敏</x:v>
      </x:c>
      <x:c r="F11" s="25" t="str">
        <x:v>不锈钢深加工</x:v>
      </x:c>
      <x:c r="G11" s="25" t="str">
        <x:v>1250mm 连续退洗线退火及固溶段设备</x:v>
      </x:c>
      <x:c r="H11" s="25" t="str">
        <x:v>生产线 / 设备分包</x:v>
      </x:c>
      <x:c r="I11" s="25" t="str">
        <x:v>资料中出现 1250mm 连续退洗线、单线退火固溶段、工艺速度约 40-45m/min、钢卷重量 Max28t、退火工艺段约 105m；公开时只保留范围和系统能力描述。</x:v>
      </x:c>
      <x:c r="J11" s="25" t="str">
        <x:v>宽带不锈钢连续处理、退火固溶段设备供货边界、圆盘辊/托辊快速更换、板温监控和多系统联动。</x:v>
      </x:c>
      <x:c r="K11" s="25" t="str">
        <x:v>退火固溶段设备、燃烧系统、冷却烘干系统、托辊与电控系统配套。</x:v>
      </x:c>
      <x:c r="L11" s="25" t="str">
        <x:v>可脱敏为 1250mm 不锈钢连续退洗线退火固溶段项目经验。</x:v>
      </x:c>
      <x:c r="M11" s="25" t="str">
        <x:v>客户全称、材料清单重量、控制柜规格、供应商品牌、合同条款、报价和付款信息。</x:v>
      </x:c>
      <x:c r="N11" s="25" t="str">
        <x:v>docs/seo-geo/case-assets-dedup.json#SN-CASE-P0-007</x:v>
      </x:c>
      <x:c r="O11" s="25" t="str">
        <x:v>是</x:v>
      </x:c>
      <x:c r="P11" s="25" t="str">
        <x:v>是</x:v>
      </x:c>
      <x:c r="Q11" s="25" t="str">
        <x:v>案例页</x:v>
      </x:c>
      <x:c r="R11" s="25" t="str">
        <x:v>待确认</x:v>
      </x:c>
      <x:c r="S11" s="25" t="str">
        <x:v>待确认</x:v>
      </x:c>
      <x:c r="T11" s="25" t="str">
        <x:v>待确认</x:v>
      </x:c>
      <x:c r="U11" s="25" t="str">
        <x:f>IF(AND(R11="通过",S11="通过",T11="通过"),"精确值可发布",IF(OR(R11="禁发",S11="禁发",T11="禁发"),"禁发","待审核"))</x:f>
        <x:v>待审核</x:v>
      </x:c>
      <x:c r="V11" s="25" t="str"/>
      <x:c r="W11" s="26" t="str"/>
      <x:c r="X11" s="25" t="str">
        <x:v>源资料含客户全称，应继续脱敏；可与已公开的退洗线节能改造案例形成项目经验体系。</x:v>
      </x:c>
    </x:row>
    <x:row r="12">
      <x:c r="A12" s="25" t="str">
        <x:v>SN-CASE-P0-008</x:v>
      </x:c>
      <x:c r="B12" s="25" t="str">
        <x:v>P0</x:v>
      </x:c>
      <x:c r="C12" s="25" t="str">
        <x:v>某不锈钢深加工企业连续退洗线退火炉燃烧系统及固溶段改造项目经验</x:v>
      </x:c>
      <x:c r="D12" s="25" t="str">
        <x:v>某不锈钢深加工企业</x:v>
      </x:c>
      <x:c r="E12" s="25" t="str">
        <x:v>脱敏</x:v>
      </x:c>
      <x:c r="F12" s="25" t="str">
        <x:v>不锈钢深加工</x:v>
      </x:c>
      <x:c r="G12" s="25" t="str">
        <x:v>连续退洗线退火炉燃烧系统及固溶段设备技术改造</x:v>
      </x:c>
      <x:c r="H12" s="25" t="str">
        <x:v>改造</x:v>
      </x:c>
      <x:c r="I12" s="25" t="str">
        <x:v>资料中出现 1250mm 连续退洗线三线改造、冷煤气替代天然气、双交叉限幅控制、节能测算数据。公开引用具体数据时必须标注只适用于该项目工况。</x:v>
      </x:c>
      <x:c r="J12" s="25" t="str">
        <x:v>低热值冷煤气替代、燃气管径与流量放大、排烟能力提升、炉膛维护与燃烧控制同步改造。</x:v>
      </x:c>
      <x:c r="K12" s="25" t="str">
        <x:v>燃烧系统升级、管路阀组、低 NOx 烧嘴、控制系统优化、炉膛检修和固溶段配套改造。</x:v>
      </x:c>
      <x:c r="L12" s="25" t="str">
        <x:v>可公开为老旧连续退洗线节能改造项目经验，重点讲燃烧系统和控制系统升级。</x:v>
      </x:c>
      <x:c r="M12" s="25" t="str">
        <x:v>客户全称、完整能耗台账、内部节能计算表、燃气参数全表、报价和合同条款。</x:v>
      </x:c>
      <x:c r="N12" s="25" t="str">
        <x:v>docs/seo-geo/case-assets-dedup.json#SN-CASE-P0-008</x:v>
      </x:c>
      <x:c r="O12" s="25" t="str">
        <x:v>是</x:v>
      </x:c>
      <x:c r="P12" s="25" t="str">
        <x:v>是</x:v>
      </x:c>
      <x:c r="Q12" s="25" t="str">
        <x:v>案例页</x:v>
      </x:c>
      <x:c r="R12" s="25" t="str">
        <x:v>待确认</x:v>
      </x:c>
      <x:c r="S12" s="25" t="str">
        <x:v>待确认</x:v>
      </x:c>
      <x:c r="T12" s="25" t="str">
        <x:v>待确认</x:v>
      </x:c>
      <x:c r="U12" s="25" t="str">
        <x:f>IF(AND(R12="通过",S12="通过",T12="通过"),"精确值可发布",IF(OR(R12="禁发",S12="禁发",T12="禁发"),"禁发","待审核"))</x:f>
        <x:v>待审核</x:v>
      </x:c>
      <x:c r="V12" s="25" t="str"/>
      <x:c r="W12" s="26" t="str"/>
      <x:c r="X12" s="25" t="str">
        <x:v>若引用年节能或吨钢降本数据，必须使用边界说明：该数据仅适用于对应燃料结构、负荷、运行制度和改造范围。</x:v>
      </x:c>
    </x:row>
    <x:row r="13">
      <x:c r="A13" s="25" t="str">
        <x:v>SN-CASE-P0-009</x:v>
      </x:c>
      <x:c r="B13" s="25" t="str">
        <x:v>P0</x:v>
      </x:c>
      <x:c r="C13" s="25" t="str">
        <x:v>某不锈钢深加工企业热轧退火酸洗项目退火炉项目经验</x:v>
      </x:c>
      <x:c r="D13" s="25" t="str">
        <x:v>某不锈钢深加工企业</x:v>
      </x:c>
      <x:c r="E13" s="25" t="str">
        <x:v>脱敏</x:v>
      </x:c>
      <x:c r="F13" s="25" t="str">
        <x:v>不锈钢热轧退火酸洗</x:v>
      </x:c>
      <x:c r="G13" s="25" t="str">
        <x:v>热轧退火酸洗项目退火炉</x:v>
      </x:c>
      <x:c r="H13" s="25" t="str">
        <x:v>生产线 / 设备分包</x:v>
      </x:c>
      <x:c r="I13" s="25" t="str">
        <x:v>资料中出现 850/1250 设备规格书、退火炉由预热段和 4 个加热段组成，燃烧区约 8 区控制，带钢退火温度通常 700-1200℃，冷却至约 80℃以下。</x:v>
      </x:c>
      <x:c r="J13" s="25" t="str">
        <x:v>连续带钢退火炉系统边界大、板形与冷却速率控制、预热空气燃烧、圆盘辊或提升辊支撑、自动化和安全联锁。</x:v>
      </x:c>
      <x:c r="K13" s="25" t="str">
        <x:v>退火炉设备方案、燃烧系统、冷却干燥段、现场仪表和控制系统配套。</x:v>
      </x:c>
      <x:c r="L13" s="25" t="str">
        <x:v>可公开为热轧退火酸洗项目退火炉项目经验，突出预热、加热、冷却、干燥系统级能力。</x:v>
      </x:c>
      <x:c r="M13" s="25" t="str">
        <x:v>客户全称、设备布置图、主要供应商、验收细则、详细电机表和报价。</x:v>
      </x:c>
      <x:c r="N13" s="25" t="str">
        <x:v>docs/seo-geo/case-assets-dedup.json#SN-CASE-P0-009</x:v>
      </x:c>
      <x:c r="O13" s="25" t="str">
        <x:v>是</x:v>
      </x:c>
      <x:c r="P13" s="25" t="str">
        <x:v>是</x:v>
      </x:c>
      <x:c r="Q13" s="25" t="str">
        <x:v>案例页</x:v>
      </x:c>
      <x:c r="R13" s="25" t="str">
        <x:v>待确认</x:v>
      </x:c>
      <x:c r="S13" s="25" t="str">
        <x:v>待确认</x:v>
      </x:c>
      <x:c r="T13" s="25" t="str">
        <x:v>待确认</x:v>
      </x:c>
      <x:c r="U13" s="25" t="str">
        <x:f>IF(AND(R13="通过",S13="通过",T13="通过"),"精确值可发布",IF(OR(R13="禁发",S13="禁发",T13="禁发"),"禁发","待审核"))</x:f>
        <x:v>待审核</x:v>
      </x:c>
      <x:c r="V13" s="25" t="str"/>
      <x:c r="W13" s="26" t="str"/>
      <x:c r="X13" s="25" t="str">
        <x:v>源资料含多个客户版本，可合并为一个脱敏案例或拆为项目经验模块。</x:v>
      </x:c>
    </x:row>
    <x:row r="14">
      <x:c r="A14" s="25" t="str">
        <x:v>SN-CASE-P0-010</x:v>
      </x:c>
      <x:c r="B14" s="25" t="str">
        <x:v>P0</x:v>
      </x:c>
      <x:c r="C14" s="25" t="str">
        <x:v>某冶炼企业低氮氧化物燃气加热炉生产线项目经验</x:v>
      </x:c>
      <x:c r="D14" s="25" t="str">
        <x:v>某冶炼企业</x:v>
      </x:c>
      <x:c r="E14" s="25" t="str">
        <x:v>脱敏</x:v>
      </x:c>
      <x:c r="F14" s="25" t="str">
        <x:v>冶炼、金属材料热处理</x:v>
      </x:c>
      <x:c r="G14" s="25" t="str">
        <x:v>低氮氧化物燃气加热炉生产线</x:v>
      </x:c>
      <x:c r="H14" s="25" t="str">
        <x:v>生产线 / 新建</x:v>
      </x:c>
      <x:c r="I14" s="25" t="str">
        <x:v>资料中出现有效尺寸约 2.5×1.6×0.8m，设备数量 2 台，最高温度 950℃，每台 4 套 250kW 低氮烧嘴，换热后助燃空气约 200-300℃。</x:v>
      </x:c>
      <x:c r="J14" s="25" t="str">
        <x:v>低 NOx 燃烧、炉压微压控制、燃气安全联锁、余热回收、温度均匀性和环保要求之间的平衡。</x:v>
      </x:c>
      <x:c r="K14" s="25" t="str">
        <x:v>燃气加热炉、封闭冷却箱、低氮燃烧系统、炉压控制、排烟余热回收和温控记录系统。</x:v>
      </x:c>
      <x:c r="L14" s="25" t="str">
        <x:v>可公开低氮燃气加热炉生产线项目经验，强调低氮燃烧方案和燃气安全控制。</x:v>
      </x:c>
      <x:c r="M14" s="25" t="str">
        <x:v>客户全称、项目详细排放验收报告、燃气管路图、报价和付款条款。</x:v>
      </x:c>
      <x:c r="N14" s="25" t="str">
        <x:v>docs/seo-geo/case-assets-dedup.json#SN-CASE-P0-010</x:v>
      </x:c>
      <x:c r="O14" s="25" t="str">
        <x:v>是</x:v>
      </x:c>
      <x:c r="P14" s="25" t="str">
        <x:v>是</x:v>
      </x:c>
      <x:c r="Q14" s="25" t="str">
        <x:v>案例页</x:v>
      </x:c>
      <x:c r="R14" s="25" t="str">
        <x:v>待确认</x:v>
      </x:c>
      <x:c r="S14" s="25" t="str">
        <x:v>待确认</x:v>
      </x:c>
      <x:c r="T14" s="25" t="str">
        <x:v>待确认</x:v>
      </x:c>
      <x:c r="U14" s="25" t="str">
        <x:f>IF(AND(R14="通过",S14="通过",T14="通过"),"精确值可发布",IF(OR(R14="禁发",S14="禁发",T14="禁发"),"禁发","待审核"))</x:f>
        <x:v>待审核</x:v>
      </x:c>
      <x:c r="V14" s="25" t="str"/>
      <x:c r="W14" s="26" t="str"/>
      <x:c r="X14" s="25" t="str">
        <x:v>公开时不要承诺固定达标或固定 NOx 数值，表述为按所在地排放要求和验收口径设计。</x:v>
      </x:c>
    </x:row>
    <x:row r="15">
      <x:c r="A15" s="25" t="str">
        <x:v>SN-CASE-P0-011</x:v>
      </x:c>
      <x:c r="B15" s="25" t="str">
        <x:v>P0</x:v>
      </x:c>
      <x:c r="C15" s="25" t="str">
        <x:v>某不锈钢企业连续退火炉（双带炉）项目经验</x:v>
      </x:c>
      <x:c r="D15" s="25" t="str">
        <x:v>某不锈钢企业</x:v>
      </x:c>
      <x:c r="E15" s="25" t="str">
        <x:v>脱敏</x:v>
      </x:c>
      <x:c r="F15" s="25" t="str">
        <x:v>不锈钢带材</x:v>
      </x:c>
      <x:c r="G15" s="25" t="str">
        <x:v>不锈钢连续退火炉（双带炉）</x:v>
      </x:c>
      <x:c r="H15" s="25" t="str">
        <x:v>生产线</x:v>
      </x:c>
      <x:c r="I15" s="25" t="str">
        <x:v>资料中出现 750t/d 双带炉、带钢宽度约 485-610mm，厚度约 2.0-5.5mm，工艺速度约 26.6m/min，炉子段约 110m，烧嘴总功率资料中有配置值。</x:v>
      </x:c>
      <x:c r="J15" s="25" t="str">
        <x:v>双带无张力退火、预热和均热段组织、带钢冷却至规定出口温度、收放卷和纠偏边界协同。</x:v>
      </x:c>
      <x:c r="K15" s="25" t="str">
        <x:v>连续退火炉、燃烧系统、冷却烘干段、温控和联锁系统，配合产线边界实施。</x:v>
      </x:c>
      <x:c r="L15" s="25" t="str">
        <x:v>可公开为不锈钢连续退火炉双带炉项目经验，突出带材连续退火系统能力。</x:v>
      </x:c>
      <x:c r="M15" s="25" t="str">
        <x:v>客户全称、厂区地址、详细年产量和产量计算表、供应商品牌、报价和合同条款。</x:v>
      </x:c>
      <x:c r="N15" s="25" t="str">
        <x:v>docs/seo-geo/case-assets-dedup.json#SN-CASE-P0-011</x:v>
      </x:c>
      <x:c r="O15" s="25" t="str">
        <x:v>待确认</x:v>
      </x:c>
      <x:c r="P15" s="25" t="str">
        <x:v>是</x:v>
      </x:c>
      <x:c r="Q15" s="25" t="str">
        <x:v>项目经验模块</x:v>
      </x:c>
      <x:c r="R15" s="25" t="str">
        <x:v>待确认</x:v>
      </x:c>
      <x:c r="S15" s="25" t="str">
        <x:v>待确认</x:v>
      </x:c>
      <x:c r="T15" s="25" t="str">
        <x:v>待确认</x:v>
      </x:c>
      <x:c r="U15" s="25" t="str">
        <x:f>IF(AND(R15="通过",S15="通过",T15="通过"),"精确值可发布",IF(OR(R15="禁发",S15="禁发",T15="禁发"),"禁发","待审核"))</x:f>
        <x:v>待审核</x:v>
      </x:c>
      <x:c r="V15" s="25" t="str"/>
      <x:c r="W15" s="26" t="str"/>
      <x:c r="X15" s="25" t="str">
        <x:v>与退火固溶生产线主题高度相关，建议先用于系统页项目经验，不急于单独案例页。</x:v>
      </x:c>
    </x:row>
    <x:row r="16">
      <x:c r="A16" s="25" t="str">
        <x:v>SN-CASE-P1-012</x:v>
      </x:c>
      <x:c r="B16" s="25" t="str">
        <x:v>P1</x:v>
      </x:c>
      <x:c r="C16" s="25" t="str">
        <x:v>某铜材加工企业铜合金线材室式电加热退火炉项目经验</x:v>
      </x:c>
      <x:c r="D16" s="25" t="str">
        <x:v>某铜材加工企业</x:v>
      </x:c>
      <x:c r="E16" s="25" t="str">
        <x:v>脱敏</x:v>
      </x:c>
      <x:c r="F16" s="25" t="str">
        <x:v>铜材、有色金属线材</x:v>
      </x:c>
      <x:c r="G16" s="25" t="str">
        <x:v>室式电加热退火炉</x:v>
      </x:c>
      <x:c r="H16" s="25" t="str">
        <x:v>新建 / 单炉设备组</x:v>
      </x:c>
      <x:c r="I16" s="25" t="str">
        <x:v>资料中出现 4 台炉体，额定温度 700℃，使用温度约 550-700℃，每室约 200kW，装料有效尺寸约 Φ1710×1600mm，PLC 控制。</x:v>
      </x:c>
      <x:c r="J16" s="25" t="str">
        <x:v>铜合金线材装料方式、保护气氛、热风循环均匀性、自动装卸料小车与多炉联动。</x:v>
      </x:c>
      <x:c r="K16" s="25" t="str">
        <x:v>室式退火炉、热风循环、氮气管路、自动装卸料和控制系统方案。</x:v>
      </x:c>
      <x:c r="L16" s="25" t="str">
        <x:v>可脱敏用于铜材/线材退火相关项目经验，说明苏能具备铜合金线材退火设备能力。</x:v>
      </x:c>
      <x:c r="M16" s="25" t="str">
        <x:v>客户全称、车间位置、详细控制参数、报价单、联系人和付款条款。</x:v>
      </x:c>
      <x:c r="N16" s="25" t="str">
        <x:v>docs/seo-geo/case-assets-dedup.json#SN-CASE-P1-012</x:v>
      </x:c>
      <x:c r="O16" s="25" t="str">
        <x:v>待确认</x:v>
      </x:c>
      <x:c r="P16" s="25" t="str">
        <x:v>待确认</x:v>
      </x:c>
      <x:c r="Q16" s="25" t="str">
        <x:v>项目经验模块</x:v>
      </x:c>
      <x:c r="R16" s="25" t="str">
        <x:v>待确认</x:v>
      </x:c>
      <x:c r="S16" s="25" t="str">
        <x:v>待确认</x:v>
      </x:c>
      <x:c r="T16" s="25" t="str">
        <x:v>待确认</x:v>
      </x:c>
      <x:c r="U16" s="25" t="str">
        <x:f>IF(AND(R16="通过",S16="通过",T16="通过"),"精确值可发布",IF(OR(R16="禁发",S16="禁发",T16="禁发"),"禁发","待审核"))</x:f>
        <x:v>待审核</x:v>
      </x:c>
      <x:c r="V16" s="25" t="str"/>
      <x:c r="W16" s="26" t="str"/>
      <x:c r="X16" s="25" t="str">
        <x:v>不是铜丝自动化连续退火生产线，不能包装成铜丝连续线案例。</x:v>
      </x:c>
    </x:row>
    <x:row r="17">
      <x:c r="A17" s="25" t="str">
        <x:v>SN-CASE-P1-013</x:v>
      </x:c>
      <x:c r="B17" s="25" t="str">
        <x:v>P1</x:v>
      </x:c>
      <x:c r="C17" s="25" t="str">
        <x:v>某线材企业台车式轴承钢丝球化退火炉项目经验</x:v>
      </x:c>
      <x:c r="D17" s="25" t="str">
        <x:v>某线材企业</x:v>
      </x:c>
      <x:c r="E17" s="25" t="str">
        <x:v>脱敏</x:v>
      </x:c>
      <x:c r="F17" s="25" t="str">
        <x:v>轴承钢丝、线材热处理</x:v>
      </x:c>
      <x:c r="G17" s="25" t="str">
        <x:v>台车式轴承钢丝球化退火炉</x:v>
      </x:c>
      <x:c r="H17" s="25" t="str">
        <x:v>新建 / 改造，待按源文件确认</x:v>
      </x:c>
      <x:c r="I17" s="25" t="str">
        <x:v>资料中出现 10m×3m×2.2m 台车式轴承钢丝球化退火炉相关方案；具体温度、装炉量和改造边界需二次核对。</x:v>
      </x:c>
      <x:c r="J17" s="25" t="str">
        <x:v>钢丝盘卷或线材装炉、球化退火工艺曲线、温度均匀性和炉内承载方式。</x:v>
      </x:c>
      <x:c r="K17" s="25" t="str">
        <x:v>台车式球化退火炉方案、制造或改造、安装调试配合。</x:v>
      </x:c>
      <x:c r="L17" s="25" t="str">
        <x:v>可用于台车炉页面项目经验模块，说明台车炉可覆盖轴承钢丝球化退火场景。</x:v>
      </x:c>
      <x:c r="M17" s="25" t="str">
        <x:v>客户全称、精确工艺曲线、服务响应承诺、报价和合同周期。</x:v>
      </x:c>
      <x:c r="N17" s="25" t="str">
        <x:v>docs/seo-geo/case-assets-dedup.json#SN-CASE-P1-013</x:v>
      </x:c>
      <x:c r="O17" s="25" t="str">
        <x:v>待确认</x:v>
      </x:c>
      <x:c r="P17" s="25" t="str">
        <x:v>待确认</x:v>
      </x:c>
      <x:c r="Q17" s="25" t="str">
        <x:v>项目经验模块</x:v>
      </x:c>
      <x:c r="R17" s="25" t="str">
        <x:v>待确认</x:v>
      </x:c>
      <x:c r="S17" s="25" t="str">
        <x:v>待确认</x:v>
      </x:c>
      <x:c r="T17" s="25" t="str">
        <x:v>待确认</x:v>
      </x:c>
      <x:c r="U17" s="25" t="str">
        <x:f>IF(AND(R17="通过",S17="通过",T17="通过"),"精确值可发布",IF(OR(R17="禁发",S17="禁发",T17="禁发"),"禁发","待审核"))</x:f>
        <x:v>待审核</x:v>
      </x:c>
      <x:c r="V17" s="25" t="str"/>
      <x:c r="W17" s="26" t="str"/>
      <x:c r="X17" s="25" t="str">
        <x:v>资料中出现服务响应和固定周期类表述，公开前需全部降级为合同约定。</x:v>
      </x:c>
    </x:row>
    <x:row r="18">
      <x:c r="A18" s="25" t="str">
        <x:v>SN-CASE-P1-014</x:v>
      </x:c>
      <x:c r="B18" s="25" t="str">
        <x:v>P1</x:v>
      </x:c>
      <x:c r="C18" s="25" t="str">
        <x:v>某重型工件企业节能燃气式台车退火炉改造项目经验</x:v>
      </x:c>
      <x:c r="D18" s="25" t="str">
        <x:v>某重型工件企业</x:v>
      </x:c>
      <x:c r="E18" s="25" t="str">
        <x:v>脱敏</x:v>
      </x:c>
      <x:c r="F18" s="25" t="str">
        <x:v>钢结构、铸件、焊接件热处理</x:v>
      </x:c>
      <x:c r="G18" s="25" t="str">
        <x:v>台车式燃气退火炉改造</x:v>
      </x:c>
      <x:c r="H18" s="25" t="str">
        <x:v>改造</x:v>
      </x:c>
      <x:c r="I18" s="25" t="str">
        <x:v>资料中出现炉膛尺寸约 13×7.4×4.3m，额定温度 700℃，14 套燃气烧嘴，助燃空气预热约 250-300℃；公开时避免节能率承诺。</x:v>
      </x:c>
      <x:c r="J18" s="25" t="str">
        <x:v>原电阻炉改燃气、超大炉膛密封、炉压控制、烧嘴布置、余热回收和安全联锁。</x:v>
      </x:c>
      <x:c r="K18" s="25" t="str">
        <x:v>电改燃方案、燃烧系统、密封改造、炉压与排烟余热回收、控制系统升级。</x:v>
      </x:c>
      <x:c r="L18" s="25" t="str">
        <x:v>可作为工业炉节能改造与台车炉改造项目经验模块。</x:v>
      </x:c>
      <x:c r="M18" s="25" t="str">
        <x:v>客户全称、节能率/热效率绝对承诺、燃气管路图、报价和付款条款。</x:v>
      </x:c>
      <x:c r="N18" s="25" t="str">
        <x:v>docs/seo-geo/case-assets-dedup.json#SN-CASE-P1-014</x:v>
      </x:c>
      <x:c r="O18" s="25" t="str">
        <x:v>待确认</x:v>
      </x:c>
      <x:c r="P18" s="25" t="str">
        <x:v>待确认</x:v>
      </x:c>
      <x:c r="Q18" s="25" t="str">
        <x:v>项目经验模块</x:v>
      </x:c>
      <x:c r="R18" s="25" t="str">
        <x:v>待确认</x:v>
      </x:c>
      <x:c r="S18" s="25" t="str">
        <x:v>待确认</x:v>
      </x:c>
      <x:c r="T18" s="25" t="str">
        <x:v>待确认</x:v>
      </x:c>
      <x:c r="U18" s="25" t="str">
        <x:f>IF(AND(R18="通过",S18="通过",T18="通过"),"精确值可发布",IF(OR(R18="禁发",S18="禁发",T18="禁发"),"禁发","待审核"))</x:f>
        <x:v>待审核</x:v>
      </x:c>
      <x:c r="V18" s="25" t="str"/>
      <x:c r="W18" s="26" t="str"/>
      <x:c r="X18" s="25" t="str">
        <x:v>公开时要删除“同行领先”等风险表述，只保留按工况评估。</x:v>
      </x:c>
    </x:row>
    <x:row r="19">
      <x:c r="A19" s="25" t="str">
        <x:v>SN-CASE-P1-015</x:v>
      </x:c>
      <x:c r="B19" s="25" t="str">
        <x:v>P1</x:v>
      </x:c>
      <x:c r="C19" s="25" t="str">
        <x:v>某小型零件企业马弗式保护气氛网带炉项目经验</x:v>
      </x:c>
      <x:c r="D19" s="25" t="str">
        <x:v>某小型零件企业</x:v>
      </x:c>
      <x:c r="E19" s="25" t="str">
        <x:v>脱敏</x:v>
      </x:c>
      <x:c r="F19" s="25" t="str">
        <x:v>小型零件、五金件、热处理加工</x:v>
      </x:c>
      <x:c r="G19" s="25" t="str">
        <x:v>马弗式保护气氛网带炉</x:v>
      </x:c>
      <x:c r="H19" s="25" t="str">
        <x:v>新建 / 单炉设备</x:v>
      </x:c>
      <x:c r="I19" s="25" t="str">
        <x:v>资料中出现 REWF-45-9 型，网带尺寸约 2100×200×50mm，有效宽度约 180mm，额定温度 950℃，产量约 60kg/h，网带速度约 10-114mm/min。</x:v>
      </x:c>
      <x:c r="J19" s="25" t="str">
        <x:v>小型工件保护气氛、马弗罐密封、网带传动和活动料框出料、淬火油槽温度控制。</x:v>
      </x:c>
      <x:c r="K19" s="25" t="str">
        <x:v>马弗式保护气氛网带炉、淬火油槽、气氛和温控系统。</x:v>
      </x:c>
      <x:c r="L19" s="25" t="str">
        <x:v>可用于网带炉页面项目经验，说明保护气氛网带炉配置能力。</x:v>
      </x:c>
      <x:c r="M19" s="25" t="str">
        <x:v>客户全称、工件具体型号、气氛配方细节、验收条款和报价。</x:v>
      </x:c>
      <x:c r="N19" s="25" t="str">
        <x:v>docs/seo-geo/case-assets-dedup.json#SN-CASE-P1-015</x:v>
      </x:c>
      <x:c r="O19" s="25" t="str">
        <x:v>否</x:v>
      </x:c>
      <x:c r="P19" s="25" t="str">
        <x:v>待确认</x:v>
      </x:c>
      <x:c r="Q19" s="25" t="str">
        <x:v>项目经验模块</x:v>
      </x:c>
      <x:c r="R19" s="25" t="str">
        <x:v>待确认</x:v>
      </x:c>
      <x:c r="S19" s="25" t="str">
        <x:v>待确认</x:v>
      </x:c>
      <x:c r="T19" s="25" t="str">
        <x:v>待确认</x:v>
      </x:c>
      <x:c r="U19" s="25" t="str">
        <x:f>IF(AND(R19="通过",S19="通过",T19="通过"),"精确值可发布",IF(OR(R19="禁发",S19="禁发",T19="禁发"),"禁发","待审核"))</x:f>
        <x:v>待审核</x:v>
      </x:c>
      <x:c r="V19" s="25" t="str"/>
      <x:c r="W19" s="26" t="str"/>
      <x:c r="X19" s="25" t="str">
        <x:v>更适合产品页补充，不建议单独案例页。</x:v>
      </x:c>
    </x:row>
    <x:row r="20">
      <x:c r="A20" s="25" t="str">
        <x:v>SN-CASE-P2-016</x:v>
      </x:c>
      <x:c r="B20" s="25" t="str">
        <x:v>P2</x:v>
      </x:c>
      <x:c r="C20" s="25" t="str">
        <x:v>某铅合金加工企业熔化电阻炉资料</x:v>
      </x:c>
      <x:c r="D20" s="25" t="str">
        <x:v>某铅合金加工企业</x:v>
      </x:c>
      <x:c r="E20" s="25" t="str">
        <x:v>不可公开</x:v>
      </x:c>
      <x:c r="F20" s="25" t="str">
        <x:v>铅合金熔化</x:v>
      </x:c>
      <x:c r="G20" s="25" t="str">
        <x:v>铅合金熔化电阻炉</x:v>
      </x:c>
      <x:c r="H20" s="25" t="str">
        <x:v>新建 / 单炉设备</x:v>
      </x:c>
      <x:c r="I20" s="25" t="str">
        <x:v>资料存在技术方案和报价单，但与当前热处理炉 SEO/GEO 主线关联较弱，未抽取公开参数。</x:v>
      </x:c>
      <x:c r="J20" s="25" t="str">
        <x:v>与热处理生产线主线相关性弱；熔化类内容需要单独判断是否纳入官网。</x:v>
      </x:c>
      <x:c r="K20" s="25" t="str">
        <x:v>熔化电阻炉方案，细节待二次整理。</x:v>
      </x:c>
      <x:c r="L20" s="25" t="str">
        <x:v>暂不建议公开，仅作为内部产品能力资料。</x:v>
      </x:c>
      <x:c r="M20" s="25" t="str">
        <x:v>客户信息、报价、付款条款、炉体结构细节和物料处理要求。</x:v>
      </x:c>
      <x:c r="N20" s="25" t="str">
        <x:v>docs/seo-geo/case-assets-dedup.json#SN-CASE-P2-016</x:v>
      </x:c>
      <x:c r="O20" s="25" t="str">
        <x:v>否</x:v>
      </x:c>
      <x:c r="P20" s="25" t="str">
        <x:v>否</x:v>
      </x:c>
      <x:c r="Q20" s="25" t="str">
        <x:v>仅内部资料</x:v>
      </x:c>
      <x:c r="R20" s="25" t="str">
        <x:v>待确认</x:v>
      </x:c>
      <x:c r="S20" s="25" t="str">
        <x:v>待确认</x:v>
      </x:c>
      <x:c r="T20" s="25" t="str">
        <x:v>待确认</x:v>
      </x:c>
      <x:c r="U20" s="25" t="str">
        <x:f>IF(AND(R20="通过",S20="通过",T20="通过"),"精确值可发布",IF(OR(R20="禁发",S20="禁发",T20="禁发"),"禁发","待审核"))</x:f>
        <x:v>待审核</x:v>
      </x:c>
      <x:c r="V20" s="25" t="str"/>
      <x:c r="W20" s="26" t="str"/>
      <x:c r="X20" s="25" t="str">
        <x:v>P2，暂不进入官网案例池。</x:v>
      </x:c>
    </x:row>
    <x:row r="21">
      <x:c r="A21" s="25" t="str">
        <x:v>SN-CASE-P2-017</x:v>
      </x:c>
      <x:c r="B21" s="25" t="str">
        <x:v>P2</x:v>
      </x:c>
      <x:c r="C21" s="25" t="str">
        <x:v>某热处理项目淬火槽配套设备资料</x:v>
      </x:c>
      <x:c r="D21" s="25" t="str">
        <x:v>某热处理项目</x:v>
      </x:c>
      <x:c r="E21" s="25" t="str">
        <x:v>不可公开</x:v>
      </x:c>
      <x:c r="F21" s="25" t="str">
        <x:v>热处理配套设备</x:v>
      </x:c>
      <x:c r="G21" s="25" t="str">
        <x:v>淬火槽</x:v>
      </x:c>
      <x:c r="H21" s="25" t="str">
        <x:v>设备分包 / 配套设备</x:v>
      </x:c>
      <x:c r="I21" s="25" t="str">
        <x:v>资料存在技术方案和报价单，但作为配套设备信息不完整，暂不单独公开。</x:v>
      </x:c>
      <x:c r="J21" s="25" t="str">
        <x:v>缺少完整炉型、工艺链和客户授权信息；单独发布价值较弱。</x:v>
      </x:c>
      <x:c r="K21" s="25" t="str">
        <x:v>淬火冷却配套设备，细节待二次核对。</x:v>
      </x:c>
      <x:c r="L21" s="25" t="str">
        <x:v>可在生产线案例中作为设备组成提及，不独立公开。</x:v>
      </x:c>
      <x:c r="M21" s="25" t="str">
        <x:v>报价、内部结构图、客户信息、冷却介质参数。</x:v>
      </x:c>
      <x:c r="N21" s="25" t="str">
        <x:v>docs/seo-geo/case-assets-dedup.json#SN-CASE-P2-017</x:v>
      </x:c>
      <x:c r="O21" s="25" t="str">
        <x:v>否</x:v>
      </x:c>
      <x:c r="P21" s="25" t="str">
        <x:v>否</x:v>
      </x:c>
      <x:c r="Q21" s="25" t="str">
        <x:v>仅内部资料</x:v>
      </x:c>
      <x:c r="R21" s="25" t="str">
        <x:v>待确认</x:v>
      </x:c>
      <x:c r="S21" s="25" t="str">
        <x:v>待确认</x:v>
      </x:c>
      <x:c r="T21" s="25" t="str">
        <x:v>待确认</x:v>
      </x:c>
      <x:c r="U21" s="25" t="str">
        <x:f>IF(AND(R21="通过",S21="通过",T21="通过"),"精确值可发布",IF(OR(R21="禁发",S21="禁发",T21="禁发"),"禁发","待审核"))</x:f>
        <x:v>待审核</x:v>
      </x:c>
      <x:c r="V21" s="25" t="str"/>
      <x:c r="W21" s="26" t="str"/>
      <x:c r="X21" s="25" t="str">
        <x:v>P2，只能作为生产线配套资产引用。</x:v>
      </x:c>
    </x:row>
    <x:row r="22">
      <x:c r="A22" s="25" t="str">
        <x:v>SN-CASE-P2-018</x:v>
      </x:c>
      <x:c r="B22" s="25" t="str">
        <x:v>P2</x:v>
      </x:c>
      <x:c r="C22" s="25" t="str">
        <x:v>分散单机资料：高温烘箱、固化炉、盐浴炉等</x:v>
      </x:c>
      <x:c r="D22" s="25" t="str">
        <x:v>多个未确认项目</x:v>
      </x:c>
      <x:c r="E22" s="25" t="str">
        <x:v>不可公开</x:v>
      </x:c>
      <x:c r="F22" s="25" t="str">
        <x:v>分散单机设备</x:v>
      </x:c>
      <x:c r="G22" s="25" t="str">
        <x:v>高温烘箱、固化炉、盐浴炉等</x:v>
      </x:c>
      <x:c r="H22" s="25" t="str">
        <x:v>新建 / 单炉设备</x:v>
      </x:c>
      <x:c r="I22" s="25" t="str">
        <x:v>当前只确认有技术方案和报价单存在，尚未形成可公开案例颗粒度。</x:v>
      </x:c>
      <x:c r="J22" s="25" t="str">
        <x:v>与现阶段热处理炉、连续生产线、改造服务主线相关性较弱。</x:v>
      </x:c>
      <x:c r="K22" s="25" t="str">
        <x:v>单机设备方案，需后续按产品体系判断是否保留。</x:v>
      </x:c>
      <x:c r="L22" s="25" t="str">
        <x:v>暂不公开。</x:v>
      </x:c>
      <x:c r="M22" s="25" t="str">
        <x:v>客户信息、报价、付款条款、供应商和图纸。</x:v>
      </x:c>
      <x:c r="N22" s="25" t="str">
        <x:v>docs/seo-geo/case-assets-dedup.json#SN-CASE-P2-018</x:v>
      </x:c>
      <x:c r="O22" s="25" t="str">
        <x:v>否</x:v>
      </x:c>
      <x:c r="P22" s="25" t="str">
        <x:v>否</x:v>
      </x:c>
      <x:c r="Q22" s="25" t="str">
        <x:v>仅内部资料</x:v>
      </x:c>
      <x:c r="R22" s="25" t="str">
        <x:v>待确认</x:v>
      </x:c>
      <x:c r="S22" s="25" t="str">
        <x:v>待确认</x:v>
      </x:c>
      <x:c r="T22" s="25" t="str">
        <x:v>待确认</x:v>
      </x:c>
      <x:c r="U22" s="25" t="str">
        <x:f>IF(AND(R22="通过",S22="通过",T22="通过"),"精确值可发布",IF(OR(R22="禁发",S22="禁发",T22="禁发"),"禁发","待审核"))</x:f>
        <x:v>待审核</x:v>
      </x:c>
      <x:c r="V22" s="25" t="str"/>
      <x:c r="W22" s="26" t="str"/>
      <x:c r="X22" s="25" t="str">
        <x:v>P2，建议暂存内部资料池。</x:v>
      </x:c>
    </x:row>
  </x:sheetData>
  <x:mergeCells>
    <x:mergeCell ref="A1:H2"/>
  </x:mergeCells>
  <x:conditionalFormatting sqref="U5:U22">
    <x:cfRule type="containsText" dxfId="3" priority="1" operator="containsText" text="待审核"/>
  </x:conditionalFormatting>
  <x:dataValidations count="2">
    <x:dataValidation type="list" sqref="R5:T22">
      <x:formula1>"待确认,通过,范围表达,禁发"</x:formula1>
    </x:dataValidation>
    <x:dataValidation type="list" sqref="V5:V22">
      <x:formula1>",唐登荣,钱波"</x:formula1>
    </x:dataValidation>
  </x:dataValidations>
  <x:pageMargins left="0.7" right="0.7" top="0.75" bottom="0.75" header="0.3" footer="0.3"/>
  <x:tableParts count="1">
    <x:tablePart xmlns:r="http://schemas.openxmlformats.org/officeDocument/2006/relationships" r:id="R13ddd7e715194bd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55" hidden="0" customWidth="1"/>
    <x:col min="4" max="4" width="4" hidden="0" customWidth="1"/>
    <x:col min="5" max="5" width="22" hidden="0" customWidth="1"/>
    <x:col min="6" max="6" width="54" hidden="0" customWidth="1"/>
  </x:cols>
  <x:sheetData>
    <x:row r="1" ht="54" customHeight="1">
      <x:c r="A1" s="28" t="str">
        <x:v>口径、状态与执行规则
这张表是填写说明，不是审批结果。</x:v>
      </x:c>
      <x:c r="B1" s="28" t="str">
        <x:v>口径、状态与执行规则
这张表是填写说明，不是审批结果。</x:v>
      </x:c>
      <x:c r="C1" s="28" t="str">
        <x:v>口径、状态与执行规则
这张表是填写说明，不是审批结果。</x:v>
      </x:c>
      <x:c r="D1" s="28" t="str">
        <x:v>口径、状态与执行规则
这张表是填写说明，不是审批结果。</x:v>
      </x:c>
      <x:c r="E1" s="28" t="str">
        <x:v>口径、状态与执行规则
这张表是填写说明，不是审批结果。</x:v>
      </x:c>
      <x:c r="F1" s="28" t="str">
        <x:v>口径、状态与执行规则
这张表是填写说明，不是审批结果。</x:v>
      </x:c>
    </x:row>
    <x:row r="2" ht="54" customHeight="1">
      <x:c r="A2" s="28" t="str">
        <x:v>口径、状态与执行规则
这张表是填写说明，不是审批结果。</x:v>
      </x:c>
      <x:c r="B2" s="28" t="str">
        <x:v>口径、状态与执行规则
这张表是填写说明，不是审批结果。</x:v>
      </x:c>
      <x:c r="C2" s="28" t="str">
        <x:v>口径、状态与执行规则
这张表是填写说明，不是审批结果。</x:v>
      </x:c>
      <x:c r="D2" s="28" t="str">
        <x:v>口径、状态与执行规则
这张表是填写说明，不是审批结果。</x:v>
      </x:c>
      <x:c r="E2" s="28" t="str">
        <x:v>口径、状态与执行规则
这张表是填写说明，不是审批结果。</x:v>
      </x:c>
      <x:c r="F2" s="28" t="str">
        <x:v>口径、状态与执行规则
这张表是填写说明，不是审批结果。</x:v>
      </x:c>
    </x:row>
    <x:row r="3">
      <x:c r="A3" s="29"/>
      <x:c r="B3" s="29"/>
      <x:c r="C3" s="29"/>
      <x:c r="D3" s="29"/>
      <x:c r="E3" s="29"/>
      <x:c r="F3" s="29"/>
    </x:row>
    <x:row r="4" ht="30" customHeight="1">
      <x:c r="A4" s="27" t="str">
        <x:v>字典</x:v>
      </x:c>
      <x:c r="B4" s="27" t="str">
        <x:v>可选值</x:v>
      </x:c>
      <x:c r="C4" s="27" t="str">
        <x:v>定义</x:v>
      </x:c>
      <x:c r="D4" s="29"/>
      <x:c r="E4" s="27" t="str">
        <x:v>责任角色</x:v>
      </x:c>
      <x:c r="F4" s="27" t="str">
        <x:v>责任边界</x:v>
      </x:c>
    </x:row>
    <x:row r="5">
      <x:c r="A5" s="17" t="str">
        <x:v>三门状态</x:v>
      </x:c>
      <x:c r="B5" s="17" t="str">
        <x:v>待确认</x:v>
      </x:c>
      <x:c r="C5" s="17" t="str">
        <x:v>尚无审核记录，不得作为精确值外发</x:v>
      </x:c>
      <x:c r="D5" s="29"/>
      <x:c r="E5" s="17" t="str">
        <x:v>唐登荣</x:v>
      </x:c>
      <x:c r="F5" s="17" t="str">
        <x:v>技术准确、适用边界、工程事实复核</x:v>
      </x:c>
    </x:row>
    <x:row r="6">
      <x:c r="A6" s="17" t="str">
        <x:v>三门状态</x:v>
      </x:c>
      <x:c r="B6" s="17" t="str">
        <x:v>通过</x:v>
      </x:c>
      <x:c r="C6" s="17" t="str">
        <x:v>对应签字人确认准确且允许</x:v>
      </x:c>
      <x:c r="D6" s="29"/>
      <x:c r="E6" s="17" t="str">
        <x:v>钱波</x:v>
      </x:c>
      <x:c r="F6" s="17" t="str">
        <x:v>公司公开边界、优先级与资源决策</x:v>
      </x:c>
    </x:row>
    <x:row r="7">
      <x:c r="A7" s="17" t="str">
        <x:v>三门状态</x:v>
      </x:c>
      <x:c r="B7" s="17" t="str">
        <x:v>范围表达</x:v>
      </x:c>
      <x:c r="C7" s="17" t="str">
        <x:v>只能使用区间/能力边界，不能发布项目精确值</x:v>
      </x:c>
      <x:c r="D7" s="29"/>
      <x:c r="E7" s="17" t="str">
        <x:v>客户确认记录</x:v>
      </x:c>
      <x:c r="F7" s="17" t="str">
        <x:v>客户名称、项目精确参数、验收结论的授权范围</x:v>
      </x:c>
    </x:row>
    <x:row r="8">
      <x:c r="A8" s="17" t="str">
        <x:v>三门状态</x:v>
      </x:c>
      <x:c r="B8" s="17" t="str">
        <x:v>禁发</x:v>
      </x:c>
      <x:c r="C8" s="17" t="str">
        <x:v>不得在官网、站外渠道或销售材料公开</x:v>
      </x:c>
      <x:c r="D8" s="29"/>
      <x:c r="E8" s="17" t="str">
        <x:v>Codex</x:v>
      </x:c>
      <x:c r="F8" s="17" t="str">
        <x:v>数据清洗、代码实现、测试与可回滚部署</x:v>
      </x:c>
    </x:row>
    <x:row r="9">
      <x:c r="A9" s="17" t="str">
        <x:v>发布状态</x:v>
      </x:c>
      <x:c r="B9" s="17" t="str">
        <x:v>精确值可发布</x:v>
      </x:c>
      <x:c r="C9" s="17" t="str">
        <x:v>技术、公司、客户三门全部通过</x:v>
      </x:c>
      <x:c r="D9" s="29"/>
      <x:c r="E9" s="17" t="str">
        <x:v>监测负责人</x:v>
      </x:c>
      <x:c r="F9" s="17" t="str">
        <x:v>固定问法复测、异常标记、月度汇总</x:v>
      </x:c>
    </x:row>
    <x:row r="10">
      <x:c r="A10" s="17" t="str">
        <x:v>发布状态</x:v>
      </x:c>
      <x:c r="B10" s="17" t="str">
        <x:v>待审核</x:v>
      </x:c>
      <x:c r="C10" s="17" t="str">
        <x:v>至少一门尚未通过</x:v>
      </x:c>
      <x:c r="D10" s="29"/>
      <x:c r="E10" s="17" t="str">
        <x:v>运营负责人</x:v>
      </x:c>
      <x:c r="F10" s="17" t="str">
        <x:v>只复用已通过事实，维护站外口径一致</x:v>
      </x:c>
    </x:row>
    <x:row r="11">
      <x:c r="A11" s="17" t="str">
        <x:v>发布状态</x:v>
      </x:c>
      <x:c r="B11" s="17" t="str">
        <x:v>禁发</x:v>
      </x:c>
      <x:c r="C11" s="17" t="str">
        <x:v>至少一门明确禁发</x:v>
      </x:c>
      <x:c r="D11" s="29"/>
      <x:c r="E11" s="29"/>
      <x:c r="F11" s="29"/>
    </x:row>
    <x:row r="12">
      <x:c r="A12" s="17" t="str">
        <x:v>评分</x:v>
      </x:c>
      <x:c r="B12" s="17" t="str">
        <x:v>0</x:v>
      </x:c>
      <x:c r="C12" s="17" t="str">
        <x:v>回答未出现苏能</x:v>
      </x:c>
      <x:c r="D12" s="29"/>
      <x:c r="E12" s="29"/>
      <x:c r="F12" s="29"/>
    </x:row>
    <x:row r="13">
      <x:c r="A13" s="17" t="str">
        <x:v>评分</x:v>
      </x:c>
      <x:c r="B13" s="17" t="str">
        <x:v>1</x:v>
      </x:c>
      <x:c r="C13" s="17" t="str">
        <x:v>出现苏能，但无可核实引用</x:v>
      </x:c>
      <x:c r="D13" s="29"/>
      <x:c r="E13" s="29"/>
      <x:c r="F13" s="29"/>
    </x:row>
    <x:row r="14">
      <x:c r="A14" s="17" t="str">
        <x:v>评分</x:v>
      </x:c>
      <x:c r="B14" s="17" t="str">
        <x:v>2</x:v>
      </x:c>
      <x:c r="C14" s="17" t="str">
        <x:v>出现苏能并引用独立第三方</x:v>
      </x:c>
      <x:c r="D14" s="29"/>
      <x:c r="E14" s="29"/>
      <x:c r="F14" s="29"/>
    </x:row>
    <x:row r="15">
      <x:c r="A15" s="17" t="str">
        <x:v>评分</x:v>
      </x:c>
      <x:c r="B15" s="17" t="str">
        <x:v>3</x:v>
      </x:c>
      <x:c r="C15" s="17" t="str">
        <x:v>出现苏能并引用官网</x:v>
      </x:c>
      <x:c r="D15" s="29"/>
      <x:c r="E15" s="29"/>
      <x:c r="F15" s="29"/>
    </x:row>
    <x:row r="16">
      <x:c r="A16" s="17" t="str">
        <x:v>评分</x:v>
      </x:c>
      <x:c r="B16" s="17" t="str">
        <x:v>4</x:v>
      </x:c>
      <x:c r="C16" s="17" t="str">
        <x:v>引用官网具体事实，且事实与边界均正确</x:v>
      </x:c>
      <x:c r="D16" s="29"/>
      <x:c r="E16" s="29"/>
      <x:c r="F16" s="29"/>
    </x:row>
    <x:row r="17">
      <x:c r="A17" s="17" t="str">
        <x:v>更新规则</x:v>
      </x:c>
      <x:c r="B17" s="17" t="str">
        <x:v>真实更新</x:v>
      </x:c>
      <x:c r="C17" s="17" t="str">
        <x:v>正文出现新证据/新结论后才更新 lastmod</x:v>
      </x:c>
      <x:c r="D17" s="29"/>
      <x:c r="E17" s="29"/>
      <x:c r="F17" s="29"/>
    </x:row>
    <x:row r="18">
      <x:c r="A18" s="17" t="str">
        <x:v>决策规则</x:v>
      </x:c>
      <x:c r="B18" s="17" t="str">
        <x:v>D+90</x:v>
      </x:c>
      <x:c r="C18" s="17" t="str">
        <x:v>内容保留、合并、重写或下线只在完整基准复测后决定</x:v>
      </x:c>
      <x:c r="D18" s="29"/>
      <x:c r="E18" s="29"/>
      <x:c r="F18" s="29"/>
    </x:row>
  </x:sheetData>
  <x:mergeCells>
    <x:mergeCell ref="A1:F2"/>
  </x:mergeCells>
  <x:pageMargins left="0.7" right="0.7" top="0.75" bottom="0.75" header="0.3" footer="0.3"/>
</x:worksheet>
</file>